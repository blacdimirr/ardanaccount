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MAYO 2025\"/>
    </mc:Choice>
  </mc:AlternateContent>
  <bookViews>
    <workbookView xWindow="-120" yWindow="-120" windowWidth="21840" windowHeight="13140" tabRatio="878" firstSheet="5" activeTab="11"/>
  </bookViews>
  <sheets>
    <sheet name="RELACION DE PAGOS EMITIDOS" sheetId="14" r:id="rId1"/>
    <sheet name="RELACION ORDENES DE COMPRAS" sheetId="15" r:id="rId2"/>
    <sheet name="CUENTA T VS" sheetId="1" r:id="rId3"/>
    <sheet name="CUENTA T FONDO 100" sheetId="13" r:id="rId4"/>
    <sheet name="CONS. FUENTES FINAN" sheetId="4" r:id="rId5"/>
    <sheet name="GASTOS X ATENCION" sheetId="6" r:id="rId6"/>
    <sheet name="PLANTILLA PRESUPUESTO" sheetId="18" r:id="rId7"/>
    <sheet name="TRANSFERENCIA CORRIENTE" sheetId="16" r:id="rId8"/>
    <sheet name="VS" sheetId="17" r:id="rId9"/>
    <sheet name="OBLIGACIONES PENDIENTES" sheetId="19" r:id="rId10"/>
    <sheet name="INGR SEGUN ORIGEN" sheetId="24" r:id="rId11"/>
    <sheet name="DEUDA" sheetId="23" r:id="rId12"/>
    <sheet name="Hoja1" sheetId="25" state="hidden" r:id="rId13"/>
    <sheet name="INGRESOS POR A.R.S" sheetId="21" r:id="rId14"/>
    <sheet name="GLOSA" sheetId="22" r:id="rId15"/>
  </sheets>
  <definedNames>
    <definedName name="_xlnm._FilterDatabase" localSheetId="4" hidden="1">'CONS. FUENTES FINAN'!$A$27:$J$501</definedName>
    <definedName name="_xlnm._FilterDatabase" localSheetId="11" hidden="1">DEUDA!$A$6:$O$83</definedName>
    <definedName name="_xlnm._FilterDatabase" localSheetId="1" hidden="1">'RELACION ORDENES DE COMPRAS'!#REF!</definedName>
    <definedName name="_xlnm.Print_Area" localSheetId="4">'CONS. FUENTES FINAN'!$A$1:$J$501</definedName>
    <definedName name="_xlnm.Print_Area" localSheetId="11">DEUDA!$A$1:$O$85</definedName>
    <definedName name="_xlnm.Print_Area" localSheetId="10">'INGR SEGUN ORIGEN'!$A$2:$E$50</definedName>
    <definedName name="_xlnm.Print_Area" localSheetId="0">'RELACION DE PAGOS EMITIDOS'!$A$1:$H$164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3" i="23" l="1"/>
  <c r="I83" i="23"/>
  <c r="J83" i="23"/>
  <c r="K83" i="23"/>
  <c r="L83" i="23"/>
  <c r="M83" i="23"/>
  <c r="N83" i="23"/>
  <c r="O7" i="23"/>
  <c r="I122" i="15" l="1"/>
  <c r="C169" i="15"/>
  <c r="H131" i="15"/>
  <c r="G131" i="15"/>
  <c r="D20" i="25" l="1"/>
  <c r="I14" i="4"/>
  <c r="G16" i="4"/>
  <c r="G15" i="4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47" i="23"/>
  <c r="G83" i="23"/>
  <c r="O83" i="23" l="1"/>
  <c r="E13" i="19"/>
  <c r="E12" i="19"/>
  <c r="E9" i="22" l="1"/>
  <c r="D9" i="22"/>
  <c r="K37" i="21"/>
  <c r="L10" i="21"/>
  <c r="K14" i="21"/>
  <c r="L14" i="21"/>
  <c r="E9" i="24"/>
  <c r="E29" i="24" l="1"/>
  <c r="E37" i="24"/>
  <c r="D80" i="25"/>
  <c r="A17" i="25" l="1"/>
  <c r="G85" i="17" l="1"/>
  <c r="G4" i="25"/>
  <c r="JI89" i="1"/>
  <c r="JI6" i="1"/>
  <c r="JI7" i="1"/>
  <c r="JI8" i="1"/>
  <c r="JI9" i="1"/>
  <c r="JI10" i="1"/>
  <c r="JI11" i="1"/>
  <c r="JI12" i="1"/>
  <c r="JI13" i="1"/>
  <c r="JI14" i="1"/>
  <c r="JI15" i="1"/>
  <c r="JI16" i="1"/>
  <c r="JI17" i="1"/>
  <c r="JI18" i="1"/>
  <c r="JI19" i="1"/>
  <c r="JI20" i="1"/>
  <c r="JI21" i="1"/>
  <c r="JI22" i="1"/>
  <c r="JI23" i="1"/>
  <c r="JI24" i="1"/>
  <c r="JI25" i="1"/>
  <c r="JI26" i="1"/>
  <c r="JI27" i="1"/>
  <c r="JI28" i="1"/>
  <c r="JI29" i="1"/>
  <c r="JI30" i="1"/>
  <c r="JI31" i="1"/>
  <c r="JI32" i="1"/>
  <c r="JI33" i="1"/>
  <c r="JI34" i="1"/>
  <c r="JI35" i="1"/>
  <c r="JI36" i="1"/>
  <c r="JI37" i="1"/>
  <c r="JI38" i="1"/>
  <c r="JI39" i="1"/>
  <c r="JI40" i="1"/>
  <c r="JI41" i="1"/>
  <c r="JI42" i="1"/>
  <c r="JI43" i="1"/>
  <c r="JI44" i="1"/>
  <c r="JI45" i="1"/>
  <c r="JI46" i="1"/>
  <c r="JI47" i="1"/>
  <c r="JI48" i="1"/>
  <c r="JI49" i="1"/>
  <c r="JI50" i="1"/>
  <c r="JI51" i="1"/>
  <c r="JI52" i="1"/>
  <c r="JI53" i="1"/>
  <c r="JI54" i="1"/>
  <c r="JI55" i="1"/>
  <c r="JI56" i="1"/>
  <c r="JI57" i="1"/>
  <c r="JI58" i="1"/>
  <c r="JI59" i="1"/>
  <c r="JI60" i="1"/>
  <c r="JI61" i="1"/>
  <c r="JI62" i="1"/>
  <c r="JI63" i="1"/>
  <c r="JI64" i="1"/>
  <c r="JI65" i="1"/>
  <c r="JI66" i="1"/>
  <c r="JI67" i="1"/>
  <c r="JI68" i="1"/>
  <c r="JI69" i="1"/>
  <c r="JI70" i="1"/>
  <c r="JI71" i="1"/>
  <c r="JI72" i="1"/>
  <c r="JI73" i="1"/>
  <c r="JI74" i="1"/>
  <c r="JI75" i="1"/>
  <c r="JI76" i="1"/>
  <c r="JI77" i="1"/>
  <c r="JI78" i="1"/>
  <c r="JI79" i="1"/>
  <c r="JI80" i="1"/>
  <c r="JI81" i="1"/>
  <c r="JI82" i="1"/>
  <c r="JI83" i="1"/>
  <c r="JI84" i="1"/>
  <c r="JI85" i="1"/>
  <c r="JI86" i="1"/>
  <c r="JI87" i="1"/>
  <c r="JI88" i="1"/>
  <c r="JL87" i="1"/>
  <c r="JL88" i="1"/>
  <c r="C162" i="14"/>
  <c r="C161" i="14"/>
  <c r="G154" i="14"/>
  <c r="A125" i="13"/>
  <c r="B125" i="13"/>
  <c r="C125" i="13"/>
  <c r="D125" i="13"/>
  <c r="E125" i="13"/>
  <c r="F125" i="13"/>
  <c r="G125" i="13"/>
  <c r="H125" i="13"/>
  <c r="I125" i="13"/>
  <c r="J125" i="13"/>
  <c r="K125" i="13"/>
  <c r="L125" i="13"/>
  <c r="M125" i="13"/>
  <c r="N125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AJ125" i="13"/>
  <c r="AK125" i="13"/>
  <c r="AL125" i="13"/>
  <c r="AM125" i="13"/>
  <c r="AN125" i="13"/>
  <c r="AO125" i="13"/>
  <c r="AP125" i="13"/>
  <c r="AQ125" i="13"/>
  <c r="AR125" i="13"/>
  <c r="AS125" i="13"/>
  <c r="AT125" i="13"/>
  <c r="AU125" i="13"/>
  <c r="AV125" i="13"/>
  <c r="AW125" i="13"/>
  <c r="AX125" i="13"/>
  <c r="AY125" i="13"/>
  <c r="AZ125" i="13"/>
  <c r="BA125" i="13"/>
  <c r="BB125" i="13"/>
  <c r="BC125" i="13"/>
  <c r="BD125" i="13"/>
  <c r="BE125" i="13"/>
  <c r="BF125" i="13"/>
  <c r="BG125" i="13"/>
  <c r="BH125" i="13"/>
  <c r="BI125" i="13"/>
  <c r="BJ125" i="13"/>
  <c r="BK125" i="13"/>
  <c r="BL125" i="13"/>
  <c r="BM125" i="13"/>
  <c r="BN125" i="13"/>
  <c r="BO125" i="13"/>
  <c r="BP125" i="13"/>
  <c r="BQ125" i="13"/>
  <c r="BR125" i="13"/>
  <c r="BS125" i="13"/>
  <c r="BT125" i="13"/>
  <c r="BU125" i="13"/>
  <c r="BV125" i="13"/>
  <c r="BW125" i="13"/>
  <c r="BX125" i="13"/>
  <c r="BY125" i="13"/>
  <c r="BZ125" i="13"/>
  <c r="CA125" i="13"/>
  <c r="CB125" i="13"/>
  <c r="CC125" i="13"/>
  <c r="CD125" i="13"/>
  <c r="CE125" i="13"/>
  <c r="CF125" i="13"/>
  <c r="CG125" i="13"/>
  <c r="CH125" i="13"/>
  <c r="CI125" i="13"/>
  <c r="CJ125" i="13"/>
  <c r="CK125" i="13"/>
  <c r="CL125" i="13"/>
  <c r="CM125" i="13"/>
  <c r="CN125" i="13"/>
  <c r="CO125" i="13"/>
  <c r="CP125" i="13"/>
  <c r="CQ125" i="13"/>
  <c r="CR125" i="13"/>
  <c r="CS125" i="13"/>
  <c r="CT125" i="13"/>
  <c r="CU125" i="13"/>
  <c r="CV125" i="13"/>
  <c r="CW125" i="13"/>
  <c r="CX125" i="13"/>
  <c r="CY125" i="13"/>
  <c r="CZ125" i="13"/>
  <c r="DA125" i="13"/>
  <c r="DB125" i="13"/>
  <c r="DC125" i="13"/>
  <c r="DD125" i="13"/>
  <c r="DE125" i="13"/>
  <c r="DF125" i="13"/>
  <c r="DG125" i="13"/>
  <c r="DH125" i="13"/>
  <c r="DI125" i="13"/>
  <c r="DJ125" i="13"/>
  <c r="DK125" i="13"/>
  <c r="DL125" i="13"/>
  <c r="DM125" i="13"/>
  <c r="DN125" i="13"/>
  <c r="DO125" i="13"/>
  <c r="DP125" i="13"/>
  <c r="DQ125" i="13"/>
  <c r="DR125" i="13"/>
  <c r="DS125" i="13"/>
  <c r="DT125" i="13"/>
  <c r="DU125" i="13"/>
  <c r="DV125" i="13"/>
  <c r="DW125" i="13"/>
  <c r="DX125" i="13"/>
  <c r="DY125" i="13"/>
  <c r="DZ125" i="13"/>
  <c r="EA125" i="13"/>
  <c r="EB125" i="13"/>
  <c r="EC125" i="13"/>
  <c r="ED125" i="13"/>
  <c r="EE125" i="13"/>
  <c r="EF125" i="13"/>
  <c r="EG125" i="13"/>
  <c r="EH125" i="13"/>
  <c r="EI125" i="13"/>
  <c r="EJ125" i="13"/>
  <c r="EK125" i="13"/>
  <c r="EL125" i="13"/>
  <c r="EM125" i="13"/>
  <c r="EN125" i="13"/>
  <c r="EO125" i="13"/>
  <c r="EP125" i="13"/>
  <c r="EQ125" i="13"/>
  <c r="ER125" i="13"/>
  <c r="ES125" i="13"/>
  <c r="ET125" i="13"/>
  <c r="EU125" i="13"/>
  <c r="EV125" i="13"/>
  <c r="EW125" i="13"/>
  <c r="EX125" i="13"/>
  <c r="EY125" i="13"/>
  <c r="EZ125" i="13"/>
  <c r="FA125" i="13"/>
  <c r="FB125" i="13"/>
  <c r="FC125" i="13"/>
  <c r="FD125" i="13"/>
  <c r="FE125" i="13"/>
  <c r="FF125" i="13"/>
  <c r="FG125" i="13"/>
  <c r="FH125" i="13"/>
  <c r="FI125" i="13"/>
  <c r="FJ125" i="13"/>
  <c r="FK125" i="13"/>
  <c r="FL125" i="13"/>
  <c r="FM125" i="13"/>
  <c r="FN125" i="13"/>
  <c r="FO125" i="13"/>
  <c r="FP125" i="13"/>
  <c r="FQ125" i="13"/>
  <c r="FR125" i="13"/>
  <c r="FS125" i="13"/>
  <c r="FT125" i="13"/>
  <c r="FU125" i="13"/>
  <c r="FV125" i="13"/>
  <c r="FW125" i="13"/>
  <c r="FX125" i="13"/>
  <c r="FY125" i="13"/>
  <c r="FZ125" i="13"/>
  <c r="GA125" i="13"/>
  <c r="GB125" i="13"/>
  <c r="GC125" i="13"/>
  <c r="GD125" i="13"/>
  <c r="GE125" i="13"/>
  <c r="GF125" i="13"/>
  <c r="GG125" i="13"/>
  <c r="GH125" i="13"/>
  <c r="GI125" i="13"/>
  <c r="GJ125" i="13"/>
  <c r="GK125" i="13"/>
  <c r="GL125" i="13"/>
  <c r="GM125" i="13"/>
  <c r="GN125" i="13"/>
  <c r="GO125" i="13"/>
  <c r="GP125" i="13"/>
  <c r="GQ125" i="13"/>
  <c r="GR125" i="13"/>
  <c r="GS125" i="13"/>
  <c r="GT125" i="13"/>
  <c r="GU125" i="13"/>
  <c r="GV125" i="13"/>
  <c r="GW125" i="13"/>
  <c r="GX125" i="13"/>
  <c r="GY125" i="13"/>
  <c r="GZ125" i="13"/>
  <c r="HA125" i="13"/>
  <c r="HB125" i="13"/>
  <c r="HC125" i="13"/>
  <c r="HD125" i="13"/>
  <c r="HE125" i="13"/>
  <c r="HF125" i="13"/>
  <c r="HG125" i="13"/>
  <c r="HH125" i="13"/>
  <c r="HI125" i="13"/>
  <c r="HJ125" i="13"/>
  <c r="HK125" i="13"/>
  <c r="HL125" i="13"/>
  <c r="HM125" i="13"/>
  <c r="HN125" i="13"/>
  <c r="HO125" i="13"/>
  <c r="HP125" i="13"/>
  <c r="HQ125" i="13"/>
  <c r="HR125" i="13"/>
  <c r="HS125" i="13"/>
  <c r="HT125" i="13"/>
  <c r="HU125" i="13"/>
  <c r="HV125" i="13"/>
  <c r="HW125" i="13"/>
  <c r="HX125" i="13"/>
  <c r="HY125" i="13"/>
  <c r="HZ125" i="13"/>
  <c r="IA125" i="13"/>
  <c r="IB125" i="13"/>
  <c r="IC125" i="13"/>
  <c r="ID125" i="13"/>
  <c r="IE125" i="13"/>
  <c r="IF125" i="13"/>
  <c r="IG125" i="13"/>
  <c r="IH125" i="13"/>
  <c r="II125" i="13"/>
  <c r="IJ125" i="13"/>
  <c r="IK125" i="13"/>
  <c r="IL125" i="13"/>
  <c r="IM125" i="13"/>
  <c r="IN125" i="13"/>
  <c r="IO125" i="13"/>
  <c r="IP125" i="13"/>
  <c r="IQ125" i="13"/>
  <c r="IR125" i="13"/>
  <c r="IS125" i="13"/>
  <c r="IT125" i="13"/>
  <c r="IU125" i="13"/>
  <c r="IV125" i="13"/>
  <c r="IW125" i="13"/>
  <c r="IX125" i="13"/>
  <c r="IY125" i="13"/>
  <c r="IZ125" i="13"/>
  <c r="JA125" i="13"/>
  <c r="JB125" i="13"/>
  <c r="JC125" i="13"/>
  <c r="JD125" i="13"/>
  <c r="JE125" i="13"/>
  <c r="JF125" i="13"/>
  <c r="JG125" i="13"/>
  <c r="JH125" i="13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EW89" i="1"/>
  <c r="EX89" i="1"/>
  <c r="EY89" i="1"/>
  <c r="EZ89" i="1"/>
  <c r="FA89" i="1"/>
  <c r="FB89" i="1"/>
  <c r="FC89" i="1"/>
  <c r="FD89" i="1"/>
  <c r="FE89" i="1"/>
  <c r="FF89" i="1"/>
  <c r="FG89" i="1"/>
  <c r="FH89" i="1"/>
  <c r="FI89" i="1"/>
  <c r="FJ89" i="1"/>
  <c r="FK89" i="1"/>
  <c r="FL89" i="1"/>
  <c r="FM89" i="1"/>
  <c r="FN89" i="1"/>
  <c r="FO89" i="1"/>
  <c r="FP89" i="1"/>
  <c r="FQ89" i="1"/>
  <c r="FR89" i="1"/>
  <c r="FS89" i="1"/>
  <c r="FT89" i="1"/>
  <c r="FU89" i="1"/>
  <c r="FV89" i="1"/>
  <c r="FW89" i="1"/>
  <c r="FX89" i="1"/>
  <c r="FY89" i="1"/>
  <c r="FZ89" i="1"/>
  <c r="GA89" i="1"/>
  <c r="GB89" i="1"/>
  <c r="GC89" i="1"/>
  <c r="GD89" i="1"/>
  <c r="GE89" i="1"/>
  <c r="GF89" i="1"/>
  <c r="GG89" i="1"/>
  <c r="GH89" i="1"/>
  <c r="GI89" i="1"/>
  <c r="GJ89" i="1"/>
  <c r="GK89" i="1"/>
  <c r="GL89" i="1"/>
  <c r="GM89" i="1"/>
  <c r="GN89" i="1"/>
  <c r="GO89" i="1"/>
  <c r="GP89" i="1"/>
  <c r="GQ89" i="1"/>
  <c r="GR89" i="1"/>
  <c r="GS89" i="1"/>
  <c r="GT89" i="1"/>
  <c r="GU89" i="1"/>
  <c r="GV89" i="1"/>
  <c r="GW89" i="1"/>
  <c r="GX89" i="1"/>
  <c r="GY89" i="1"/>
  <c r="GZ89" i="1"/>
  <c r="HA89" i="1"/>
  <c r="HB89" i="1"/>
  <c r="HC89" i="1"/>
  <c r="HD89" i="1"/>
  <c r="HE89" i="1"/>
  <c r="HF89" i="1"/>
  <c r="HG89" i="1"/>
  <c r="HH89" i="1"/>
  <c r="HI89" i="1"/>
  <c r="HJ89" i="1"/>
  <c r="HK89" i="1"/>
  <c r="HL89" i="1"/>
  <c r="HM89" i="1"/>
  <c r="HN89" i="1"/>
  <c r="HO89" i="1"/>
  <c r="HP89" i="1"/>
  <c r="HQ89" i="1"/>
  <c r="HR89" i="1"/>
  <c r="HS89" i="1"/>
  <c r="HT89" i="1"/>
  <c r="HU89" i="1"/>
  <c r="HV89" i="1"/>
  <c r="HW89" i="1"/>
  <c r="HX89" i="1"/>
  <c r="HY89" i="1"/>
  <c r="HZ89" i="1"/>
  <c r="IA89" i="1"/>
  <c r="IB89" i="1"/>
  <c r="IC89" i="1"/>
  <c r="ID89" i="1"/>
  <c r="IE89" i="1"/>
  <c r="IF89" i="1"/>
  <c r="IG89" i="1"/>
  <c r="IH89" i="1"/>
  <c r="II89" i="1"/>
  <c r="IJ89" i="1"/>
  <c r="IK89" i="1"/>
  <c r="IL89" i="1"/>
  <c r="IM89" i="1"/>
  <c r="IN89" i="1"/>
  <c r="IO89" i="1"/>
  <c r="IP89" i="1"/>
  <c r="IQ89" i="1"/>
  <c r="IR89" i="1"/>
  <c r="IS89" i="1"/>
  <c r="IT89" i="1"/>
  <c r="IU89" i="1"/>
  <c r="IV89" i="1"/>
  <c r="IW89" i="1"/>
  <c r="IX89" i="1"/>
  <c r="IY89" i="1"/>
  <c r="IZ89" i="1"/>
  <c r="JA89" i="1"/>
  <c r="JB89" i="1"/>
  <c r="JC89" i="1"/>
  <c r="JD89" i="1"/>
  <c r="JE89" i="1"/>
  <c r="JF89" i="1"/>
  <c r="JG89" i="1"/>
  <c r="JH89" i="1"/>
  <c r="JI125" i="13"/>
  <c r="D82" i="25" l="1"/>
  <c r="D84" i="25" s="1"/>
  <c r="D81" i="25"/>
  <c r="H154" i="14" l="1"/>
  <c r="D145" i="14"/>
  <c r="D146" i="14" s="1"/>
  <c r="D147" i="14" s="1"/>
  <c r="D148" i="14" s="1"/>
  <c r="D149" i="14" s="1"/>
  <c r="D150" i="14" s="1"/>
  <c r="D151" i="14" s="1"/>
  <c r="D152" i="14" s="1"/>
  <c r="B106" i="1" l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EZ106" i="1"/>
  <c r="FA106" i="1"/>
  <c r="GF106" i="1"/>
  <c r="GH106" i="1"/>
  <c r="GJ106" i="1"/>
  <c r="GL106" i="1"/>
  <c r="GN106" i="1"/>
  <c r="GP106" i="1"/>
  <c r="GR106" i="1"/>
  <c r="GT106" i="1"/>
  <c r="GV106" i="1"/>
  <c r="GX106" i="1"/>
  <c r="GZ106" i="1"/>
  <c r="HB106" i="1"/>
  <c r="HD106" i="1"/>
  <c r="HF106" i="1"/>
  <c r="HH106" i="1"/>
  <c r="HJ106" i="1"/>
  <c r="HL106" i="1"/>
  <c r="HN106" i="1"/>
  <c r="HP106" i="1"/>
  <c r="HR106" i="1"/>
  <c r="HT106" i="1"/>
  <c r="HV106" i="1"/>
  <c r="HX106" i="1"/>
  <c r="HZ106" i="1"/>
  <c r="IB106" i="1"/>
  <c r="ID106" i="1"/>
  <c r="IF106" i="1"/>
  <c r="IH106" i="1"/>
  <c r="IJ106" i="1"/>
  <c r="IL106" i="1"/>
  <c r="IN106" i="1"/>
  <c r="IP106" i="1"/>
  <c r="IR106" i="1"/>
  <c r="IT106" i="1"/>
  <c r="IV106" i="1"/>
  <c r="IX106" i="1"/>
  <c r="IZ106" i="1"/>
  <c r="JB106" i="1"/>
  <c r="JD106" i="1"/>
  <c r="JF106" i="1"/>
  <c r="JH106" i="1"/>
  <c r="A106" i="1"/>
  <c r="A89" i="1"/>
  <c r="BB106" i="1"/>
  <c r="CL106" i="1"/>
  <c r="FB106" i="1"/>
  <c r="FC106" i="1"/>
  <c r="FD106" i="1"/>
  <c r="FE106" i="1"/>
  <c r="FF106" i="1"/>
  <c r="FG106" i="1"/>
  <c r="FH106" i="1"/>
  <c r="FI106" i="1"/>
  <c r="FJ106" i="1"/>
  <c r="FK106" i="1"/>
  <c r="FL106" i="1"/>
  <c r="FM106" i="1"/>
  <c r="FN106" i="1"/>
  <c r="FO106" i="1"/>
  <c r="FP106" i="1"/>
  <c r="FQ106" i="1"/>
  <c r="FR106" i="1"/>
  <c r="FS106" i="1"/>
  <c r="FT106" i="1"/>
  <c r="FU106" i="1"/>
  <c r="FV106" i="1"/>
  <c r="FW106" i="1"/>
  <c r="FX106" i="1"/>
  <c r="FY106" i="1"/>
  <c r="FZ106" i="1"/>
  <c r="GA106" i="1"/>
  <c r="GB106" i="1"/>
  <c r="GC106" i="1"/>
  <c r="GD106" i="1"/>
  <c r="GE106" i="1"/>
  <c r="GG106" i="1"/>
  <c r="GI106" i="1"/>
  <c r="GK106" i="1"/>
  <c r="GM106" i="1"/>
  <c r="GO106" i="1"/>
  <c r="GQ106" i="1"/>
  <c r="GS106" i="1"/>
  <c r="GU106" i="1"/>
  <c r="GW106" i="1"/>
  <c r="GY106" i="1"/>
  <c r="HA106" i="1"/>
  <c r="HC106" i="1"/>
  <c r="HE106" i="1"/>
  <c r="HG106" i="1"/>
  <c r="HI106" i="1"/>
  <c r="HK106" i="1"/>
  <c r="HM106" i="1"/>
  <c r="HO106" i="1"/>
  <c r="HQ106" i="1"/>
  <c r="HS106" i="1"/>
  <c r="HU106" i="1"/>
  <c r="HW106" i="1"/>
  <c r="HY106" i="1"/>
  <c r="IA106" i="1"/>
  <c r="IC106" i="1"/>
  <c r="IE106" i="1"/>
  <c r="IG106" i="1"/>
  <c r="II106" i="1"/>
  <c r="IK106" i="1"/>
  <c r="IM106" i="1"/>
  <c r="IO106" i="1"/>
  <c r="IQ106" i="1"/>
  <c r="IS106" i="1"/>
  <c r="IU106" i="1"/>
  <c r="IW106" i="1"/>
  <c r="IY106" i="1"/>
  <c r="JA106" i="1"/>
  <c r="JC106" i="1"/>
  <c r="JE106" i="1"/>
  <c r="JG106" i="1"/>
  <c r="JJ30" i="1" l="1"/>
  <c r="JJ31" i="1" s="1"/>
  <c r="JJ32" i="1" s="1"/>
  <c r="JJ33" i="1" s="1"/>
  <c r="JJ34" i="1" s="1"/>
  <c r="JJ35" i="1" s="1"/>
  <c r="JJ36" i="1" s="1"/>
  <c r="JJ37" i="1" s="1"/>
  <c r="JJ38" i="1" s="1"/>
  <c r="JJ39" i="1" s="1"/>
  <c r="JJ40" i="1" s="1"/>
  <c r="JJ41" i="1" s="1"/>
  <c r="JJ42" i="1" s="1"/>
  <c r="JJ43" i="1" s="1"/>
  <c r="JJ44" i="1" s="1"/>
  <c r="JJ45" i="1" s="1"/>
  <c r="JJ46" i="1" s="1"/>
  <c r="AB54" i="13" l="1"/>
  <c r="C163" i="14"/>
  <c r="C12" i="14" l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F23" i="17" l="1"/>
  <c r="I17" i="4" l="1"/>
  <c r="F34" i="17"/>
  <c r="J14" i="21" l="1"/>
  <c r="J21" i="21"/>
  <c r="J10" i="21" l="1"/>
  <c r="I10" i="21"/>
  <c r="I14" i="21"/>
  <c r="E8" i="22"/>
  <c r="H29" i="4" l="1"/>
  <c r="A105" i="1"/>
  <c r="E7" i="22" l="1"/>
  <c r="G10" i="21"/>
  <c r="G14" i="21"/>
  <c r="H14" i="21" l="1"/>
  <c r="H10" i="21"/>
  <c r="E12" i="24" l="1"/>
  <c r="E38" i="24" l="1"/>
  <c r="B126" i="13"/>
  <c r="G30" i="4" s="1"/>
  <c r="C126" i="13"/>
  <c r="G31" i="4" s="1"/>
  <c r="D126" i="13"/>
  <c r="G32" i="4" s="1"/>
  <c r="E126" i="13"/>
  <c r="G33" i="4" s="1"/>
  <c r="F126" i="13"/>
  <c r="G34" i="4" s="1"/>
  <c r="G126" i="13"/>
  <c r="G36" i="4" s="1"/>
  <c r="H126" i="13"/>
  <c r="G37" i="4" s="1"/>
  <c r="I126" i="13"/>
  <c r="G38" i="4" s="1"/>
  <c r="J126" i="13"/>
  <c r="G39" i="4" s="1"/>
  <c r="K126" i="13"/>
  <c r="G40" i="4" s="1"/>
  <c r="L126" i="13"/>
  <c r="G41" i="4" s="1"/>
  <c r="M126" i="13"/>
  <c r="G43" i="4" s="1"/>
  <c r="G42" i="4" s="1"/>
  <c r="N126" i="13"/>
  <c r="G45" i="4" s="1"/>
  <c r="G44" i="4" s="1"/>
  <c r="O126" i="13"/>
  <c r="G47" i="4" s="1"/>
  <c r="P126" i="13"/>
  <c r="G48" i="4" s="1"/>
  <c r="Q126" i="13"/>
  <c r="R126" i="13"/>
  <c r="S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AJ126" i="13"/>
  <c r="AK126" i="13"/>
  <c r="AL126" i="13"/>
  <c r="AM126" i="13"/>
  <c r="AN126" i="13"/>
  <c r="AO126" i="13"/>
  <c r="AP126" i="13"/>
  <c r="AQ126" i="13"/>
  <c r="AR126" i="13"/>
  <c r="AS126" i="13"/>
  <c r="AT126" i="13"/>
  <c r="AU126" i="13"/>
  <c r="AV126" i="13"/>
  <c r="AW126" i="13"/>
  <c r="AX126" i="13"/>
  <c r="AY126" i="13"/>
  <c r="AZ126" i="13"/>
  <c r="BA126" i="13"/>
  <c r="BB126" i="13"/>
  <c r="BC126" i="13"/>
  <c r="BD126" i="13"/>
  <c r="BE126" i="13"/>
  <c r="BF126" i="13"/>
  <c r="BG126" i="13"/>
  <c r="BH126" i="13"/>
  <c r="BI126" i="13"/>
  <c r="BJ126" i="13"/>
  <c r="BK126" i="13"/>
  <c r="BL126" i="13"/>
  <c r="BM126" i="13"/>
  <c r="BN126" i="13"/>
  <c r="BO126" i="13"/>
  <c r="BP126" i="13"/>
  <c r="BQ126" i="13"/>
  <c r="BR126" i="13"/>
  <c r="BS126" i="13"/>
  <c r="BT126" i="13"/>
  <c r="BU126" i="13"/>
  <c r="BV126" i="13"/>
  <c r="BW126" i="13"/>
  <c r="BX126" i="13"/>
  <c r="BY126" i="13"/>
  <c r="BZ126" i="13"/>
  <c r="CA126" i="13"/>
  <c r="CB126" i="13"/>
  <c r="CC126" i="13"/>
  <c r="CD126" i="13"/>
  <c r="CE126" i="13"/>
  <c r="CF126" i="13"/>
  <c r="CG126" i="13"/>
  <c r="CH126" i="13"/>
  <c r="CI126" i="13"/>
  <c r="CJ126" i="13"/>
  <c r="CK126" i="13"/>
  <c r="CL126" i="13"/>
  <c r="CM126" i="13"/>
  <c r="CN126" i="13"/>
  <c r="CO126" i="13"/>
  <c r="CP126" i="13"/>
  <c r="CQ126" i="13"/>
  <c r="CR126" i="13"/>
  <c r="CS126" i="13"/>
  <c r="CT126" i="13"/>
  <c r="CU126" i="13"/>
  <c r="CV126" i="13"/>
  <c r="CW126" i="13"/>
  <c r="CX126" i="13"/>
  <c r="CY126" i="13"/>
  <c r="CZ126" i="13"/>
  <c r="DA126" i="13"/>
  <c r="DB126" i="13"/>
  <c r="DC126" i="13"/>
  <c r="DD126" i="13"/>
  <c r="DE126" i="13"/>
  <c r="DF126" i="13"/>
  <c r="DG126" i="13"/>
  <c r="DH126" i="13"/>
  <c r="DI126" i="13"/>
  <c r="DJ126" i="13"/>
  <c r="DK126" i="13"/>
  <c r="DL126" i="13"/>
  <c r="DM126" i="13"/>
  <c r="DN126" i="13"/>
  <c r="DO126" i="13"/>
  <c r="DP126" i="13"/>
  <c r="DQ126" i="13"/>
  <c r="DR126" i="13"/>
  <c r="DS126" i="13"/>
  <c r="DT126" i="13"/>
  <c r="DU126" i="13"/>
  <c r="DV126" i="13"/>
  <c r="DW126" i="13"/>
  <c r="DX126" i="13"/>
  <c r="DY126" i="13"/>
  <c r="DZ126" i="13"/>
  <c r="EA126" i="13"/>
  <c r="EB126" i="13"/>
  <c r="EC126" i="13"/>
  <c r="ED126" i="13"/>
  <c r="EE126" i="13"/>
  <c r="EF126" i="13"/>
  <c r="EG126" i="13"/>
  <c r="EH126" i="13"/>
  <c r="EI126" i="13"/>
  <c r="EJ126" i="13"/>
  <c r="EK126" i="13"/>
  <c r="EL126" i="13"/>
  <c r="EM126" i="13"/>
  <c r="EN126" i="13"/>
  <c r="EO126" i="13"/>
  <c r="EP126" i="13"/>
  <c r="EQ126" i="13"/>
  <c r="ER126" i="13"/>
  <c r="ES126" i="13"/>
  <c r="ET126" i="13"/>
  <c r="EU126" i="13"/>
  <c r="EV126" i="13"/>
  <c r="EW126" i="13"/>
  <c r="EX126" i="13"/>
  <c r="EY126" i="13"/>
  <c r="EZ126" i="13"/>
  <c r="FA126" i="13"/>
  <c r="FB126" i="13"/>
  <c r="FC126" i="13"/>
  <c r="FD126" i="13"/>
  <c r="FE126" i="13"/>
  <c r="FF126" i="13"/>
  <c r="FG126" i="13"/>
  <c r="FH126" i="13"/>
  <c r="FI126" i="13"/>
  <c r="FJ126" i="13"/>
  <c r="FK126" i="13"/>
  <c r="FL126" i="13"/>
  <c r="FM126" i="13"/>
  <c r="FN126" i="13"/>
  <c r="FO126" i="13"/>
  <c r="FP126" i="13"/>
  <c r="FQ126" i="13"/>
  <c r="FR126" i="13"/>
  <c r="FS126" i="13"/>
  <c r="FT126" i="13"/>
  <c r="FU126" i="13"/>
  <c r="FV126" i="13"/>
  <c r="FW126" i="13"/>
  <c r="FX126" i="13"/>
  <c r="FY126" i="13"/>
  <c r="FZ126" i="13"/>
  <c r="GA126" i="13"/>
  <c r="GB126" i="13"/>
  <c r="GC126" i="13"/>
  <c r="GD126" i="13"/>
  <c r="GE126" i="13"/>
  <c r="GF126" i="13"/>
  <c r="GG126" i="13"/>
  <c r="GH126" i="13"/>
  <c r="GI126" i="13"/>
  <c r="GJ126" i="13"/>
  <c r="GK126" i="13"/>
  <c r="GL126" i="13"/>
  <c r="GM126" i="13"/>
  <c r="GN126" i="13"/>
  <c r="GO126" i="13"/>
  <c r="GP126" i="13"/>
  <c r="GQ126" i="13"/>
  <c r="GR126" i="13"/>
  <c r="GS126" i="13"/>
  <c r="GT126" i="13"/>
  <c r="GU126" i="13"/>
  <c r="GV126" i="13"/>
  <c r="GW126" i="13"/>
  <c r="GX126" i="13"/>
  <c r="GY126" i="13"/>
  <c r="GZ126" i="13"/>
  <c r="HA126" i="13"/>
  <c r="HB126" i="13"/>
  <c r="HC126" i="13"/>
  <c r="HD126" i="13"/>
  <c r="HE126" i="13"/>
  <c r="HF126" i="13"/>
  <c r="HG126" i="13"/>
  <c r="HH126" i="13"/>
  <c r="HI126" i="13"/>
  <c r="HJ126" i="13"/>
  <c r="HK126" i="13"/>
  <c r="HL126" i="13"/>
  <c r="HM126" i="13"/>
  <c r="HN126" i="13"/>
  <c r="HO126" i="13"/>
  <c r="HP126" i="13"/>
  <c r="HQ126" i="13"/>
  <c r="HR126" i="13"/>
  <c r="HS126" i="13"/>
  <c r="HT126" i="13"/>
  <c r="HU126" i="13"/>
  <c r="HV126" i="13"/>
  <c r="HW126" i="13"/>
  <c r="HX126" i="13"/>
  <c r="HY126" i="13"/>
  <c r="HZ126" i="13"/>
  <c r="IA126" i="13"/>
  <c r="IB126" i="13"/>
  <c r="IC126" i="13"/>
  <c r="ID126" i="13"/>
  <c r="IE126" i="13"/>
  <c r="IF126" i="13"/>
  <c r="IG126" i="13"/>
  <c r="IH126" i="13"/>
  <c r="II126" i="13"/>
  <c r="IJ126" i="13"/>
  <c r="IK126" i="13"/>
  <c r="IL126" i="13"/>
  <c r="IM126" i="13"/>
  <c r="IN126" i="13"/>
  <c r="IO126" i="13"/>
  <c r="IP126" i="13"/>
  <c r="IQ126" i="13"/>
  <c r="IR126" i="13"/>
  <c r="IS126" i="13"/>
  <c r="IT126" i="13"/>
  <c r="IU126" i="13"/>
  <c r="IV126" i="13"/>
  <c r="IW126" i="13"/>
  <c r="IX126" i="13"/>
  <c r="IY126" i="13"/>
  <c r="IZ126" i="13"/>
  <c r="JA126" i="13"/>
  <c r="JB126" i="13"/>
  <c r="JC126" i="13"/>
  <c r="JD126" i="13"/>
  <c r="JE126" i="13"/>
  <c r="JF126" i="13"/>
  <c r="JG126" i="13"/>
  <c r="JH126" i="13"/>
  <c r="A126" i="13"/>
  <c r="G29" i="4" s="1"/>
  <c r="I29" i="4" s="1"/>
  <c r="JI114" i="13"/>
  <c r="JL114" i="13" s="1"/>
  <c r="JI115" i="13"/>
  <c r="JL115" i="13" s="1"/>
  <c r="JI116" i="13"/>
  <c r="JL116" i="13" s="1"/>
  <c r="JI117" i="13"/>
  <c r="JL117" i="13" s="1"/>
  <c r="JI118" i="13"/>
  <c r="JL118" i="13" s="1"/>
  <c r="JI119" i="13"/>
  <c r="JL119" i="13" s="1"/>
  <c r="JI120" i="13"/>
  <c r="JL120" i="13" s="1"/>
  <c r="JI121" i="13"/>
  <c r="JI122" i="13"/>
  <c r="JL122" i="13" s="1"/>
  <c r="JI123" i="13"/>
  <c r="JL123" i="13" s="1"/>
  <c r="G28" i="4" l="1"/>
  <c r="G35" i="4"/>
  <c r="JL121" i="13"/>
  <c r="JI98" i="13" l="1"/>
  <c r="JI99" i="13"/>
  <c r="JL99" i="13" l="1"/>
  <c r="E83" i="23" l="1"/>
  <c r="C85" i="17"/>
  <c r="D23" i="17" l="1"/>
  <c r="D22" i="17"/>
  <c r="D34" i="17"/>
  <c r="H85" i="16" l="1"/>
  <c r="I85" i="16"/>
  <c r="J85" i="16"/>
  <c r="K85" i="16"/>
  <c r="L85" i="16"/>
  <c r="M85" i="16"/>
  <c r="N85" i="16"/>
  <c r="D85" i="16"/>
  <c r="E14" i="21" l="1"/>
  <c r="E19" i="19"/>
  <c r="E5" i="22"/>
  <c r="E6" i="22"/>
  <c r="D6" i="22"/>
  <c r="C37" i="21"/>
  <c r="D37" i="21"/>
  <c r="E37" i="21"/>
  <c r="F37" i="21"/>
  <c r="C13" i="21"/>
  <c r="D13" i="21"/>
  <c r="C38" i="21"/>
  <c r="D38" i="21"/>
  <c r="JI57" i="13" l="1"/>
  <c r="JL57" i="13" s="1"/>
  <c r="JI58" i="13"/>
  <c r="JL58" i="13" s="1"/>
  <c r="JI59" i="13"/>
  <c r="JL59" i="13" s="1"/>
  <c r="JI60" i="13"/>
  <c r="JL60" i="13" s="1"/>
  <c r="JI61" i="13"/>
  <c r="JL61" i="13" s="1"/>
  <c r="JI62" i="13"/>
  <c r="JL62" i="13" s="1"/>
  <c r="JI63" i="13"/>
  <c r="JL63" i="13" s="1"/>
  <c r="JI64" i="13"/>
  <c r="JL64" i="13" s="1"/>
  <c r="JI65" i="13"/>
  <c r="JL65" i="13" s="1"/>
  <c r="JI66" i="13"/>
  <c r="JL66" i="13" s="1"/>
  <c r="JI67" i="13"/>
  <c r="JL67" i="13" s="1"/>
  <c r="JI68" i="13"/>
  <c r="JL68" i="13" s="1"/>
  <c r="JI69" i="13"/>
  <c r="JL69" i="13" s="1"/>
  <c r="JI70" i="13"/>
  <c r="JL70" i="13" s="1"/>
  <c r="JI71" i="13"/>
  <c r="JL71" i="13" s="1"/>
  <c r="JI72" i="13"/>
  <c r="JL72" i="13" s="1"/>
  <c r="JI73" i="13"/>
  <c r="JL73" i="13" s="1"/>
  <c r="JI74" i="13"/>
  <c r="JL74" i="13" s="1"/>
  <c r="JI75" i="13"/>
  <c r="JL75" i="13" s="1"/>
  <c r="JI76" i="13"/>
  <c r="JL76" i="13" s="1"/>
  <c r="JI77" i="13"/>
  <c r="JL77" i="13" s="1"/>
  <c r="JI78" i="13"/>
  <c r="JL78" i="13" s="1"/>
  <c r="JI79" i="13"/>
  <c r="JL79" i="13" s="1"/>
  <c r="JI80" i="13"/>
  <c r="JL80" i="13" s="1"/>
  <c r="JI81" i="13"/>
  <c r="JL81" i="13" s="1"/>
  <c r="JI82" i="13"/>
  <c r="JL82" i="13" s="1"/>
  <c r="JI83" i="13"/>
  <c r="JL83" i="13" s="1"/>
  <c r="JI84" i="13"/>
  <c r="JL84" i="13" s="1"/>
  <c r="JI85" i="13"/>
  <c r="JL85" i="13" s="1"/>
  <c r="JI86" i="13"/>
  <c r="JL86" i="13" s="1"/>
  <c r="JI87" i="13"/>
  <c r="JL87" i="13" s="1"/>
  <c r="JI88" i="13"/>
  <c r="JL88" i="13" s="1"/>
  <c r="JI89" i="13"/>
  <c r="JL89" i="13" s="1"/>
  <c r="JI90" i="13"/>
  <c r="JL90" i="13" s="1"/>
  <c r="JI91" i="13"/>
  <c r="JL91" i="13" s="1"/>
  <c r="JI92" i="13"/>
  <c r="JL92" i="13" s="1"/>
  <c r="JI93" i="13"/>
  <c r="JL93" i="13" s="1"/>
  <c r="JI94" i="13"/>
  <c r="JL94" i="13" s="1"/>
  <c r="JI95" i="13"/>
  <c r="JL95" i="13" s="1"/>
  <c r="JI96" i="13"/>
  <c r="JL96" i="13" s="1"/>
  <c r="JI97" i="13"/>
  <c r="JL97" i="13" s="1"/>
  <c r="J83" i="18" l="1"/>
  <c r="I83" i="18"/>
  <c r="J81" i="18"/>
  <c r="I81" i="18"/>
  <c r="H81" i="18"/>
  <c r="G81" i="18"/>
  <c r="J80" i="18"/>
  <c r="I80" i="18"/>
  <c r="H80" i="18"/>
  <c r="G80" i="18"/>
  <c r="J79" i="18"/>
  <c r="I79" i="18"/>
  <c r="H79" i="18"/>
  <c r="G79" i="18"/>
  <c r="J78" i="18"/>
  <c r="I78" i="18"/>
  <c r="H78" i="18"/>
  <c r="G78" i="18"/>
  <c r="J77" i="18"/>
  <c r="I77" i="18"/>
  <c r="H77" i="18"/>
  <c r="G77" i="18"/>
  <c r="J76" i="18"/>
  <c r="I76" i="18"/>
  <c r="H76" i="18"/>
  <c r="G76" i="18"/>
  <c r="J75" i="18"/>
  <c r="I75" i="18"/>
  <c r="H75" i="18"/>
  <c r="G75" i="18"/>
  <c r="J74" i="18"/>
  <c r="I74" i="18"/>
  <c r="H74" i="18"/>
  <c r="G74" i="18"/>
  <c r="L74" i="18" s="1"/>
  <c r="J73" i="18"/>
  <c r="I73" i="18"/>
  <c r="H73" i="18"/>
  <c r="G73" i="18"/>
  <c r="J71" i="18"/>
  <c r="I71" i="18"/>
  <c r="N71" i="18" s="1"/>
  <c r="H71" i="18"/>
  <c r="J70" i="18"/>
  <c r="J68" i="18" s="1"/>
  <c r="I70" i="18"/>
  <c r="H70" i="18"/>
  <c r="J69" i="18"/>
  <c r="I69" i="18"/>
  <c r="H69" i="18"/>
  <c r="G70" i="18"/>
  <c r="G69" i="18"/>
  <c r="J67" i="18"/>
  <c r="I67" i="18"/>
  <c r="H67" i="18"/>
  <c r="G67" i="18"/>
  <c r="G65" i="18" s="1"/>
  <c r="J66" i="18"/>
  <c r="I66" i="18"/>
  <c r="H66" i="18"/>
  <c r="G66" i="18"/>
  <c r="J64" i="18"/>
  <c r="I64" i="18"/>
  <c r="H64" i="18"/>
  <c r="G64" i="18"/>
  <c r="J63" i="18"/>
  <c r="I63" i="18"/>
  <c r="H63" i="18"/>
  <c r="G63" i="18"/>
  <c r="J62" i="18"/>
  <c r="I62" i="18"/>
  <c r="H62" i="18"/>
  <c r="G62" i="18"/>
  <c r="G60" i="18" s="1"/>
  <c r="J61" i="18"/>
  <c r="I61" i="18"/>
  <c r="H61" i="18"/>
  <c r="G61" i="18"/>
  <c r="J59" i="18"/>
  <c r="I59" i="18"/>
  <c r="H59" i="18"/>
  <c r="G59" i="18"/>
  <c r="J58" i="18"/>
  <c r="I58" i="18"/>
  <c r="H58" i="18"/>
  <c r="G58" i="18"/>
  <c r="J57" i="18"/>
  <c r="I57" i="18"/>
  <c r="N57" i="18" s="1"/>
  <c r="H57" i="18"/>
  <c r="M57" i="18" s="1"/>
  <c r="G57" i="18"/>
  <c r="J56" i="18"/>
  <c r="I56" i="18"/>
  <c r="H56" i="18"/>
  <c r="M56" i="18" s="1"/>
  <c r="G56" i="18"/>
  <c r="J55" i="18"/>
  <c r="I55" i="18"/>
  <c r="H55" i="18"/>
  <c r="G55" i="18"/>
  <c r="J54" i="18"/>
  <c r="I54" i="18"/>
  <c r="H54" i="18"/>
  <c r="G54" i="18"/>
  <c r="J53" i="18"/>
  <c r="I53" i="18"/>
  <c r="N53" i="18" s="1"/>
  <c r="H53" i="18"/>
  <c r="G53" i="18"/>
  <c r="J52" i="18"/>
  <c r="I52" i="18"/>
  <c r="N52" i="18" s="1"/>
  <c r="H52" i="18"/>
  <c r="G52" i="18"/>
  <c r="G50" i="18" s="1"/>
  <c r="J51" i="18"/>
  <c r="I51" i="18"/>
  <c r="H51" i="18"/>
  <c r="G51" i="18"/>
  <c r="J49" i="18"/>
  <c r="I49" i="18"/>
  <c r="H49" i="18"/>
  <c r="G49" i="18"/>
  <c r="L49" i="18" s="1"/>
  <c r="J48" i="18"/>
  <c r="I48" i="18"/>
  <c r="H48" i="18"/>
  <c r="G48" i="18"/>
  <c r="L48" i="18" s="1"/>
  <c r="J47" i="18"/>
  <c r="I47" i="18"/>
  <c r="H47" i="18"/>
  <c r="G47" i="18"/>
  <c r="L47" i="18" s="1"/>
  <c r="J46" i="18"/>
  <c r="I46" i="18"/>
  <c r="H46" i="18"/>
  <c r="G46" i="18"/>
  <c r="L46" i="18" s="1"/>
  <c r="J45" i="18"/>
  <c r="I45" i="18"/>
  <c r="H45" i="18"/>
  <c r="G45" i="18"/>
  <c r="L45" i="18" s="1"/>
  <c r="J44" i="18"/>
  <c r="I44" i="18"/>
  <c r="H44" i="18"/>
  <c r="G44" i="18"/>
  <c r="G42" i="18" s="1"/>
  <c r="J43" i="18"/>
  <c r="I43" i="18"/>
  <c r="H43" i="18"/>
  <c r="G43" i="18"/>
  <c r="J41" i="18"/>
  <c r="I41" i="18"/>
  <c r="H41" i="18"/>
  <c r="G41" i="18"/>
  <c r="J40" i="18"/>
  <c r="I40" i="18"/>
  <c r="H40" i="18"/>
  <c r="G40" i="18"/>
  <c r="J39" i="18"/>
  <c r="I39" i="18"/>
  <c r="H39" i="18"/>
  <c r="G39" i="18"/>
  <c r="J38" i="18"/>
  <c r="I38" i="18"/>
  <c r="H38" i="18"/>
  <c r="G38" i="18"/>
  <c r="J37" i="18"/>
  <c r="I37" i="18"/>
  <c r="H37" i="18"/>
  <c r="G37" i="18"/>
  <c r="J36" i="18"/>
  <c r="I36" i="18"/>
  <c r="H36" i="18"/>
  <c r="G36" i="18"/>
  <c r="J35" i="18"/>
  <c r="J34" i="18" s="1"/>
  <c r="I35" i="18"/>
  <c r="H35" i="18"/>
  <c r="H34" i="18" s="1"/>
  <c r="G35" i="18"/>
  <c r="J33" i="18"/>
  <c r="I33" i="18"/>
  <c r="H33" i="18"/>
  <c r="G33" i="18"/>
  <c r="J32" i="18"/>
  <c r="I32" i="18"/>
  <c r="H32" i="18"/>
  <c r="G32" i="18"/>
  <c r="J31" i="18"/>
  <c r="I31" i="18"/>
  <c r="H31" i="18"/>
  <c r="G31" i="18"/>
  <c r="J30" i="18"/>
  <c r="I30" i="18"/>
  <c r="H30" i="18"/>
  <c r="G30" i="18"/>
  <c r="J29" i="18"/>
  <c r="I29" i="18"/>
  <c r="H29" i="18"/>
  <c r="G29" i="18"/>
  <c r="J28" i="18"/>
  <c r="I28" i="18"/>
  <c r="H28" i="18"/>
  <c r="G28" i="18"/>
  <c r="J27" i="18"/>
  <c r="I27" i="18"/>
  <c r="H27" i="18"/>
  <c r="G27" i="18"/>
  <c r="J26" i="18"/>
  <c r="I26" i="18"/>
  <c r="H26" i="18"/>
  <c r="H24" i="18" s="1"/>
  <c r="G26" i="18"/>
  <c r="J25" i="18"/>
  <c r="I25" i="18"/>
  <c r="H25" i="18"/>
  <c r="G25" i="18"/>
  <c r="J23" i="18"/>
  <c r="I23" i="18"/>
  <c r="H23" i="18"/>
  <c r="G23" i="18"/>
  <c r="L23" i="18" s="1"/>
  <c r="J22" i="18"/>
  <c r="I22" i="18"/>
  <c r="H22" i="18"/>
  <c r="G22" i="18"/>
  <c r="J21" i="18"/>
  <c r="I21" i="18"/>
  <c r="H21" i="18"/>
  <c r="G21" i="18"/>
  <c r="J20" i="18"/>
  <c r="I20" i="18"/>
  <c r="H20" i="18"/>
  <c r="G20" i="18"/>
  <c r="L20" i="18" s="1"/>
  <c r="J19" i="18"/>
  <c r="I19" i="18"/>
  <c r="H19" i="18"/>
  <c r="M19" i="18" s="1"/>
  <c r="G19" i="18"/>
  <c r="L19" i="18" s="1"/>
  <c r="J18" i="18"/>
  <c r="I18" i="18"/>
  <c r="H18" i="18"/>
  <c r="G18" i="18"/>
  <c r="L18" i="18" s="1"/>
  <c r="J17" i="18"/>
  <c r="I17" i="18"/>
  <c r="H17" i="18"/>
  <c r="G17" i="18"/>
  <c r="L17" i="18" s="1"/>
  <c r="J16" i="18"/>
  <c r="I16" i="18"/>
  <c r="H16" i="18"/>
  <c r="G16" i="18"/>
  <c r="J15" i="18"/>
  <c r="I15" i="18"/>
  <c r="H15" i="18"/>
  <c r="G15" i="18"/>
  <c r="J13" i="18"/>
  <c r="I13" i="18"/>
  <c r="H13" i="18"/>
  <c r="G13" i="18"/>
  <c r="J12" i="18"/>
  <c r="I12" i="18"/>
  <c r="H12" i="18"/>
  <c r="M12" i="18" s="1"/>
  <c r="G12" i="18"/>
  <c r="L12" i="18" s="1"/>
  <c r="J11" i="18"/>
  <c r="I11" i="18"/>
  <c r="H11" i="18"/>
  <c r="M11" i="18" s="1"/>
  <c r="G11" i="18"/>
  <c r="L11" i="18" s="1"/>
  <c r="J10" i="18"/>
  <c r="I10" i="18"/>
  <c r="H10" i="18"/>
  <c r="G10" i="18"/>
  <c r="J9" i="18"/>
  <c r="I9" i="18"/>
  <c r="H9" i="18"/>
  <c r="G9" i="18"/>
  <c r="G8" i="18" s="1"/>
  <c r="E83" i="18"/>
  <c r="D83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7" i="18"/>
  <c r="D67" i="18"/>
  <c r="C67" i="18"/>
  <c r="B67" i="18"/>
  <c r="E66" i="18"/>
  <c r="D66" i="18"/>
  <c r="C66" i="18"/>
  <c r="M66" i="18" s="1"/>
  <c r="B66" i="18"/>
  <c r="E64" i="18"/>
  <c r="D64" i="18"/>
  <c r="C64" i="18"/>
  <c r="B64" i="18"/>
  <c r="E63" i="18"/>
  <c r="D63" i="18"/>
  <c r="C63" i="18"/>
  <c r="B63" i="18"/>
  <c r="L63" i="18" s="1"/>
  <c r="E62" i="18"/>
  <c r="D62" i="18"/>
  <c r="C62" i="18"/>
  <c r="B62" i="18"/>
  <c r="L62" i="18" s="1"/>
  <c r="E61" i="18"/>
  <c r="D61" i="18"/>
  <c r="C61" i="18"/>
  <c r="B61" i="18"/>
  <c r="L61" i="18" s="1"/>
  <c r="E59" i="18"/>
  <c r="D59" i="18"/>
  <c r="C59" i="18"/>
  <c r="C50" i="18" s="1"/>
  <c r="B59" i="18"/>
  <c r="L59" i="18" s="1"/>
  <c r="E58" i="18"/>
  <c r="D58" i="18"/>
  <c r="C58" i="18"/>
  <c r="B58" i="18"/>
  <c r="L58" i="18" s="1"/>
  <c r="E57" i="18"/>
  <c r="D57" i="18"/>
  <c r="C57" i="18"/>
  <c r="B57" i="18"/>
  <c r="L57" i="18" s="1"/>
  <c r="E56" i="18"/>
  <c r="D56" i="18"/>
  <c r="C56" i="18"/>
  <c r="B56" i="18"/>
  <c r="L56" i="18" s="1"/>
  <c r="E55" i="18"/>
  <c r="D55" i="18"/>
  <c r="C55" i="18"/>
  <c r="M55" i="18" s="1"/>
  <c r="B55" i="18"/>
  <c r="L55" i="18" s="1"/>
  <c r="E54" i="18"/>
  <c r="D54" i="18"/>
  <c r="C54" i="18"/>
  <c r="B54" i="18"/>
  <c r="L54" i="18" s="1"/>
  <c r="E53" i="18"/>
  <c r="D53" i="18"/>
  <c r="C53" i="18"/>
  <c r="B53" i="18"/>
  <c r="L53" i="18" s="1"/>
  <c r="E52" i="18"/>
  <c r="D52" i="18"/>
  <c r="C52" i="18"/>
  <c r="B52" i="18"/>
  <c r="L52" i="18" s="1"/>
  <c r="E51" i="18"/>
  <c r="D51" i="18"/>
  <c r="C51" i="18"/>
  <c r="B51" i="18"/>
  <c r="L51" i="18" s="1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B42" i="18" s="1"/>
  <c r="E43" i="18"/>
  <c r="D43" i="18"/>
  <c r="C43" i="18"/>
  <c r="C42" i="18" s="1"/>
  <c r="B43" i="18"/>
  <c r="E41" i="18"/>
  <c r="D41" i="18"/>
  <c r="C41" i="18"/>
  <c r="B41" i="18"/>
  <c r="L41" i="18" s="1"/>
  <c r="E40" i="18"/>
  <c r="D40" i="18"/>
  <c r="C40" i="18"/>
  <c r="B40" i="18"/>
  <c r="E39" i="18"/>
  <c r="D39" i="18"/>
  <c r="C39" i="18"/>
  <c r="B39" i="18"/>
  <c r="E38" i="18"/>
  <c r="D38" i="18"/>
  <c r="C38" i="18"/>
  <c r="B38" i="18"/>
  <c r="L38" i="18" s="1"/>
  <c r="E37" i="18"/>
  <c r="D37" i="18"/>
  <c r="C37" i="18"/>
  <c r="B37" i="18"/>
  <c r="L37" i="18" s="1"/>
  <c r="E36" i="18"/>
  <c r="D36" i="18"/>
  <c r="C36" i="18"/>
  <c r="B36" i="18"/>
  <c r="L36" i="18" s="1"/>
  <c r="E35" i="18"/>
  <c r="D35" i="18"/>
  <c r="C35" i="18"/>
  <c r="B35" i="18"/>
  <c r="E33" i="18"/>
  <c r="D33" i="18"/>
  <c r="C33" i="18"/>
  <c r="M33" i="18" s="1"/>
  <c r="B33" i="18"/>
  <c r="L33" i="18" s="1"/>
  <c r="E32" i="18"/>
  <c r="D32" i="18"/>
  <c r="C32" i="18"/>
  <c r="B32" i="18"/>
  <c r="E31" i="18"/>
  <c r="D31" i="18"/>
  <c r="C31" i="18"/>
  <c r="M31" i="18" s="1"/>
  <c r="B31" i="18"/>
  <c r="L31" i="18" s="1"/>
  <c r="E30" i="18"/>
  <c r="D30" i="18"/>
  <c r="N30" i="18" s="1"/>
  <c r="C30" i="18"/>
  <c r="M30" i="18" s="1"/>
  <c r="B30" i="18"/>
  <c r="L30" i="18" s="1"/>
  <c r="E29" i="18"/>
  <c r="D29" i="18"/>
  <c r="C29" i="18"/>
  <c r="M29" i="18" s="1"/>
  <c r="B29" i="18"/>
  <c r="L29" i="18" s="1"/>
  <c r="E28" i="18"/>
  <c r="D28" i="18"/>
  <c r="C28" i="18"/>
  <c r="M28" i="18" s="1"/>
  <c r="B28" i="18"/>
  <c r="L28" i="18" s="1"/>
  <c r="E27" i="18"/>
  <c r="D27" i="18"/>
  <c r="C27" i="18"/>
  <c r="M27" i="18" s="1"/>
  <c r="B27" i="18"/>
  <c r="L27" i="18" s="1"/>
  <c r="E26" i="18"/>
  <c r="D26" i="18"/>
  <c r="C26" i="18"/>
  <c r="M26" i="18" s="1"/>
  <c r="B26" i="18"/>
  <c r="L26" i="18" s="1"/>
  <c r="E25" i="18"/>
  <c r="O25" i="18" s="1"/>
  <c r="D25" i="18"/>
  <c r="C25" i="18"/>
  <c r="B25" i="18"/>
  <c r="L25" i="18" s="1"/>
  <c r="E23" i="18"/>
  <c r="D23" i="18"/>
  <c r="C23" i="18"/>
  <c r="B23" i="18"/>
  <c r="E22" i="18"/>
  <c r="D22" i="18"/>
  <c r="C22" i="18"/>
  <c r="B22" i="18"/>
  <c r="L22" i="18" s="1"/>
  <c r="E21" i="18"/>
  <c r="D21" i="18"/>
  <c r="C21" i="18"/>
  <c r="B21" i="18"/>
  <c r="E20" i="18"/>
  <c r="D20" i="18"/>
  <c r="C20" i="18"/>
  <c r="B20" i="18"/>
  <c r="E19" i="18"/>
  <c r="D19" i="18"/>
  <c r="C19" i="18"/>
  <c r="B19" i="18"/>
  <c r="E18" i="18"/>
  <c r="D18" i="18"/>
  <c r="C18" i="18"/>
  <c r="B18" i="18"/>
  <c r="E17" i="18"/>
  <c r="D17" i="18"/>
  <c r="C17" i="18"/>
  <c r="B17" i="18"/>
  <c r="E16" i="18"/>
  <c r="D16" i="18"/>
  <c r="C16" i="18"/>
  <c r="C14" i="18" s="1"/>
  <c r="B16" i="18"/>
  <c r="E15" i="18"/>
  <c r="D15" i="18"/>
  <c r="C15" i="18"/>
  <c r="M15" i="18" s="1"/>
  <c r="B15" i="18"/>
  <c r="L15" i="18" s="1"/>
  <c r="E13" i="18"/>
  <c r="O13" i="18" s="1"/>
  <c r="D13" i="18"/>
  <c r="C13" i="18"/>
  <c r="B13" i="18"/>
  <c r="L13" i="18" s="1"/>
  <c r="E12" i="18"/>
  <c r="O12" i="18" s="1"/>
  <c r="D12" i="18"/>
  <c r="C12" i="18"/>
  <c r="B12" i="18"/>
  <c r="E11" i="18"/>
  <c r="O11" i="18" s="1"/>
  <c r="D11" i="18"/>
  <c r="C11" i="18"/>
  <c r="B11" i="18"/>
  <c r="E10" i="18"/>
  <c r="O10" i="18" s="1"/>
  <c r="D10" i="18"/>
  <c r="C10" i="18"/>
  <c r="M10" i="18" s="1"/>
  <c r="B10" i="18"/>
  <c r="E9" i="18"/>
  <c r="D9" i="18"/>
  <c r="C9" i="18"/>
  <c r="C8" i="18" s="1"/>
  <c r="B9" i="18"/>
  <c r="B8" i="18" s="1"/>
  <c r="D17" i="22"/>
  <c r="C17" i="22"/>
  <c r="B17" i="22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J37" i="21"/>
  <c r="I37" i="21"/>
  <c r="H37" i="21"/>
  <c r="G37" i="21"/>
  <c r="Z13" i="21"/>
  <c r="Z38" i="21" s="1"/>
  <c r="Y13" i="21"/>
  <c r="Y38" i="21" s="1"/>
  <c r="X13" i="21"/>
  <c r="X38" i="21" s="1"/>
  <c r="W13" i="21"/>
  <c r="W38" i="21" s="1"/>
  <c r="V13" i="21"/>
  <c r="V38" i="21" s="1"/>
  <c r="U13" i="21"/>
  <c r="U38" i="21" s="1"/>
  <c r="T13" i="21"/>
  <c r="T38" i="21" s="1"/>
  <c r="S13" i="21"/>
  <c r="S38" i="21" s="1"/>
  <c r="R13" i="21"/>
  <c r="R38" i="21" s="1"/>
  <c r="Q13" i="21"/>
  <c r="Q38" i="21" s="1"/>
  <c r="P13" i="21"/>
  <c r="P38" i="21" s="1"/>
  <c r="O13" i="21"/>
  <c r="O38" i="21" s="1"/>
  <c r="N13" i="21"/>
  <c r="N38" i="21" s="1"/>
  <c r="M13" i="21"/>
  <c r="M38" i="21" s="1"/>
  <c r="L13" i="21"/>
  <c r="L38" i="21" s="1"/>
  <c r="K13" i="21"/>
  <c r="K38" i="21" s="1"/>
  <c r="J13" i="21"/>
  <c r="J38" i="21" s="1"/>
  <c r="I13" i="21"/>
  <c r="I38" i="21" s="1"/>
  <c r="H13" i="21"/>
  <c r="H38" i="21" s="1"/>
  <c r="G13" i="21"/>
  <c r="G38" i="21" s="1"/>
  <c r="F13" i="21"/>
  <c r="F38" i="21" s="1"/>
  <c r="E13" i="21"/>
  <c r="E38" i="21" s="1"/>
  <c r="N83" i="18"/>
  <c r="J82" i="18"/>
  <c r="I82" i="18"/>
  <c r="D82" i="18"/>
  <c r="O81" i="18"/>
  <c r="N81" i="18"/>
  <c r="M81" i="18"/>
  <c r="O80" i="18"/>
  <c r="N80" i="18"/>
  <c r="M80" i="18"/>
  <c r="N79" i="18"/>
  <c r="O79" i="18"/>
  <c r="M79" i="18"/>
  <c r="M78" i="18"/>
  <c r="O78" i="18"/>
  <c r="N78" i="18"/>
  <c r="O77" i="18"/>
  <c r="N77" i="18"/>
  <c r="M77" i="18"/>
  <c r="O76" i="18"/>
  <c r="N76" i="18"/>
  <c r="M76" i="18"/>
  <c r="N75" i="18"/>
  <c r="O75" i="18"/>
  <c r="M75" i="18"/>
  <c r="M74" i="18"/>
  <c r="O74" i="18"/>
  <c r="N74" i="18"/>
  <c r="L73" i="18"/>
  <c r="O73" i="18"/>
  <c r="N73" i="18"/>
  <c r="M73" i="18"/>
  <c r="O71" i="18"/>
  <c r="M71" i="18"/>
  <c r="L71" i="18"/>
  <c r="N70" i="18"/>
  <c r="M70" i="18"/>
  <c r="L70" i="18"/>
  <c r="O69" i="18"/>
  <c r="N69" i="18"/>
  <c r="M69" i="18"/>
  <c r="I68" i="18"/>
  <c r="H68" i="18"/>
  <c r="E68" i="18"/>
  <c r="D68" i="18"/>
  <c r="C68" i="18"/>
  <c r="M68" i="18" s="1"/>
  <c r="B68" i="18"/>
  <c r="O67" i="18"/>
  <c r="N67" i="18"/>
  <c r="M67" i="18"/>
  <c r="J65" i="18"/>
  <c r="O66" i="18"/>
  <c r="N66" i="18"/>
  <c r="L66" i="18"/>
  <c r="I65" i="18"/>
  <c r="H65" i="18"/>
  <c r="D65" i="18"/>
  <c r="B65" i="18"/>
  <c r="O64" i="18"/>
  <c r="N64" i="18"/>
  <c r="M64" i="18"/>
  <c r="O63" i="18"/>
  <c r="N63" i="18"/>
  <c r="M63" i="18"/>
  <c r="O62" i="18"/>
  <c r="N62" i="18"/>
  <c r="M62" i="18"/>
  <c r="O61" i="18"/>
  <c r="N61" i="18"/>
  <c r="M61" i="18"/>
  <c r="J60" i="18"/>
  <c r="I60" i="18"/>
  <c r="H60" i="18"/>
  <c r="E60" i="18"/>
  <c r="O60" i="18" s="1"/>
  <c r="D60" i="18"/>
  <c r="C60" i="18"/>
  <c r="M60" i="18" s="1"/>
  <c r="O59" i="18"/>
  <c r="N59" i="18"/>
  <c r="M59" i="18"/>
  <c r="O58" i="18"/>
  <c r="N58" i="18"/>
  <c r="M58" i="18"/>
  <c r="O57" i="18"/>
  <c r="O56" i="18"/>
  <c r="N56" i="18"/>
  <c r="O55" i="18"/>
  <c r="N55" i="18"/>
  <c r="O54" i="18"/>
  <c r="N54" i="18"/>
  <c r="M54" i="18"/>
  <c r="O53" i="18"/>
  <c r="J50" i="18"/>
  <c r="E50" i="18"/>
  <c r="O50" i="18" s="1"/>
  <c r="O51" i="18"/>
  <c r="N51" i="18"/>
  <c r="M51" i="18"/>
  <c r="I50" i="18"/>
  <c r="H50" i="18"/>
  <c r="D50" i="18"/>
  <c r="O49" i="18"/>
  <c r="N49" i="18"/>
  <c r="M49" i="18"/>
  <c r="O48" i="18"/>
  <c r="N48" i="18"/>
  <c r="M48" i="18"/>
  <c r="O47" i="18"/>
  <c r="N47" i="18"/>
  <c r="M47" i="18"/>
  <c r="O46" i="18"/>
  <c r="N46" i="18"/>
  <c r="M46" i="18"/>
  <c r="O45" i="18"/>
  <c r="N45" i="18"/>
  <c r="M45" i="18"/>
  <c r="J42" i="18"/>
  <c r="E42" i="18"/>
  <c r="O42" i="18" s="1"/>
  <c r="N44" i="18"/>
  <c r="M44" i="18"/>
  <c r="O43" i="18"/>
  <c r="N43" i="18"/>
  <c r="M43" i="18"/>
  <c r="L43" i="18"/>
  <c r="I42" i="18"/>
  <c r="H42" i="18"/>
  <c r="D42" i="18"/>
  <c r="O41" i="18"/>
  <c r="N41" i="18"/>
  <c r="M41" i="18"/>
  <c r="O40" i="18"/>
  <c r="N40" i="18"/>
  <c r="M40" i="18"/>
  <c r="O39" i="18"/>
  <c r="N39" i="18"/>
  <c r="M39" i="18"/>
  <c r="O38" i="18"/>
  <c r="N38" i="18"/>
  <c r="M38" i="18"/>
  <c r="O37" i="18"/>
  <c r="N37" i="18"/>
  <c r="M37" i="18"/>
  <c r="E34" i="18"/>
  <c r="N36" i="18"/>
  <c r="M36" i="18"/>
  <c r="N35" i="18"/>
  <c r="M35" i="18"/>
  <c r="L35" i="18"/>
  <c r="I34" i="18"/>
  <c r="D34" i="18"/>
  <c r="C34" i="18"/>
  <c r="B34" i="18"/>
  <c r="O33" i="18"/>
  <c r="N33" i="18"/>
  <c r="O32" i="18"/>
  <c r="N32" i="18"/>
  <c r="M32" i="18"/>
  <c r="O31" i="18"/>
  <c r="N31" i="18"/>
  <c r="O30" i="18"/>
  <c r="O29" i="18"/>
  <c r="N29" i="18"/>
  <c r="O28" i="18"/>
  <c r="N28" i="18"/>
  <c r="O27" i="18"/>
  <c r="O26" i="18"/>
  <c r="N26" i="18"/>
  <c r="N25" i="18"/>
  <c r="J24" i="18"/>
  <c r="I24" i="18"/>
  <c r="O23" i="18"/>
  <c r="N23" i="18"/>
  <c r="M23" i="18"/>
  <c r="O22" i="18"/>
  <c r="N22" i="18"/>
  <c r="O21" i="18"/>
  <c r="N21" i="18"/>
  <c r="O20" i="18"/>
  <c r="N20" i="18"/>
  <c r="M20" i="18"/>
  <c r="O19" i="18"/>
  <c r="N19" i="18"/>
  <c r="O18" i="18"/>
  <c r="N18" i="18"/>
  <c r="M18" i="18"/>
  <c r="O17" i="18"/>
  <c r="N17" i="18"/>
  <c r="M17" i="18"/>
  <c r="J14" i="18"/>
  <c r="E14" i="18"/>
  <c r="N16" i="18"/>
  <c r="M16" i="18"/>
  <c r="O15" i="18"/>
  <c r="N15" i="18"/>
  <c r="I14" i="18"/>
  <c r="D14" i="18"/>
  <c r="N13" i="18"/>
  <c r="N12" i="18"/>
  <c r="N11" i="18"/>
  <c r="N10" i="18"/>
  <c r="O9" i="18"/>
  <c r="N9" i="18"/>
  <c r="M9" i="18"/>
  <c r="J8" i="18"/>
  <c r="I8" i="18"/>
  <c r="E8" i="18"/>
  <c r="D8" i="18"/>
  <c r="B72" i="17"/>
  <c r="B71" i="17"/>
  <c r="B70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 s="1"/>
  <c r="B68" i="17"/>
  <c r="B67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B65" i="17"/>
  <c r="B64" i="17"/>
  <c r="B63" i="17"/>
  <c r="B62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 s="1"/>
  <c r="B60" i="17"/>
  <c r="B59" i="17"/>
  <c r="B58" i="17"/>
  <c r="B57" i="17"/>
  <c r="B56" i="17"/>
  <c r="B55" i="17"/>
  <c r="B54" i="17"/>
  <c r="B53" i="17"/>
  <c r="B52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0" i="17"/>
  <c r="B49" i="17"/>
  <c r="B48" i="17"/>
  <c r="B47" i="17"/>
  <c r="B46" i="17"/>
  <c r="B45" i="17"/>
  <c r="B44" i="17"/>
  <c r="N43" i="17"/>
  <c r="M43" i="17"/>
  <c r="L43" i="17"/>
  <c r="K43" i="17"/>
  <c r="J43" i="17"/>
  <c r="I43" i="17"/>
  <c r="H43" i="17"/>
  <c r="G43" i="17"/>
  <c r="F43" i="17"/>
  <c r="E43" i="17"/>
  <c r="B43" i="17" s="1"/>
  <c r="D43" i="17"/>
  <c r="C43" i="17"/>
  <c r="B42" i="17"/>
  <c r="B41" i="17"/>
  <c r="B40" i="17"/>
  <c r="B39" i="17"/>
  <c r="B38" i="17"/>
  <c r="B37" i="17"/>
  <c r="B36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4" i="17"/>
  <c r="B33" i="17"/>
  <c r="B32" i="17"/>
  <c r="B31" i="17"/>
  <c r="B30" i="17"/>
  <c r="B29" i="17"/>
  <c r="B28" i="17"/>
  <c r="B27" i="17"/>
  <c r="B26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4" i="17"/>
  <c r="B23" i="17"/>
  <c r="B22" i="17"/>
  <c r="B21" i="17"/>
  <c r="B20" i="17"/>
  <c r="B19" i="17"/>
  <c r="B18" i="17"/>
  <c r="B17" i="17"/>
  <c r="B16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4" i="17"/>
  <c r="B13" i="17"/>
  <c r="B12" i="17"/>
  <c r="B11" i="17"/>
  <c r="B10" i="17"/>
  <c r="N9" i="17"/>
  <c r="N73" i="17" s="1"/>
  <c r="M9" i="17"/>
  <c r="M73" i="17" s="1"/>
  <c r="L9" i="17"/>
  <c r="L73" i="17" s="1"/>
  <c r="K9" i="17"/>
  <c r="K73" i="17" s="1"/>
  <c r="J9" i="17"/>
  <c r="J73" i="17" s="1"/>
  <c r="I9" i="17"/>
  <c r="I73" i="17" s="1"/>
  <c r="H9" i="17"/>
  <c r="H73" i="17" s="1"/>
  <c r="G9" i="17"/>
  <c r="F9" i="17"/>
  <c r="F73" i="17" s="1"/>
  <c r="F85" i="17" s="1"/>
  <c r="H83" i="18" s="1"/>
  <c r="H82" i="18" s="1"/>
  <c r="E9" i="17"/>
  <c r="D9" i="17"/>
  <c r="C9" i="17"/>
  <c r="B72" i="16"/>
  <c r="B71" i="16"/>
  <c r="B70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 s="1"/>
  <c r="B68" i="16"/>
  <c r="B67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B65" i="16"/>
  <c r="B64" i="16"/>
  <c r="B63" i="16"/>
  <c r="B62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1" i="16" s="1"/>
  <c r="B60" i="16"/>
  <c r="B59" i="16"/>
  <c r="B58" i="16"/>
  <c r="B57" i="16"/>
  <c r="B56" i="16"/>
  <c r="B55" i="16"/>
  <c r="B54" i="16"/>
  <c r="B53" i="16"/>
  <c r="B52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0" i="16"/>
  <c r="B49" i="16"/>
  <c r="B48" i="16"/>
  <c r="B47" i="16"/>
  <c r="B46" i="16"/>
  <c r="B45" i="16"/>
  <c r="B44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 s="1"/>
  <c r="B42" i="16"/>
  <c r="B41" i="16"/>
  <c r="B40" i="16"/>
  <c r="B39" i="16"/>
  <c r="B38" i="16"/>
  <c r="B37" i="16"/>
  <c r="B36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 s="1"/>
  <c r="N25" i="16"/>
  <c r="M25" i="16"/>
  <c r="L25" i="16"/>
  <c r="K25" i="16"/>
  <c r="J25" i="16"/>
  <c r="I25" i="16"/>
  <c r="H25" i="16"/>
  <c r="G25" i="16"/>
  <c r="F25" i="16"/>
  <c r="E25" i="16"/>
  <c r="D25" i="16"/>
  <c r="C25" i="16"/>
  <c r="B24" i="16"/>
  <c r="B23" i="16"/>
  <c r="B22" i="16"/>
  <c r="B21" i="16"/>
  <c r="B20" i="16"/>
  <c r="B19" i="16"/>
  <c r="B18" i="16"/>
  <c r="B17" i="16"/>
  <c r="B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4" i="16"/>
  <c r="B13" i="16"/>
  <c r="B12" i="16"/>
  <c r="B11" i="16"/>
  <c r="B10" i="16"/>
  <c r="N9" i="16"/>
  <c r="M9" i="16"/>
  <c r="L9" i="16"/>
  <c r="K9" i="16"/>
  <c r="J9" i="16"/>
  <c r="I9" i="16"/>
  <c r="H9" i="16"/>
  <c r="G9" i="16"/>
  <c r="F9" i="16"/>
  <c r="E9" i="16"/>
  <c r="D9" i="16"/>
  <c r="C9" i="16"/>
  <c r="M52" i="18" l="1"/>
  <c r="C24" i="18"/>
  <c r="M25" i="18"/>
  <c r="M22" i="18"/>
  <c r="M21" i="18"/>
  <c r="G73" i="16"/>
  <c r="G85" i="16" s="1"/>
  <c r="G73" i="17"/>
  <c r="M14" i="18"/>
  <c r="H14" i="18"/>
  <c r="M53" i="18"/>
  <c r="M13" i="18"/>
  <c r="E17" i="22"/>
  <c r="E73" i="17"/>
  <c r="E85" i="17" s="1"/>
  <c r="B35" i="17"/>
  <c r="G34" i="18"/>
  <c r="B51" i="17"/>
  <c r="B25" i="17"/>
  <c r="G24" i="18"/>
  <c r="D73" i="17"/>
  <c r="D85" i="17" s="1"/>
  <c r="G14" i="18"/>
  <c r="B15" i="17"/>
  <c r="B51" i="16"/>
  <c r="L21" i="18"/>
  <c r="L16" i="18"/>
  <c r="L10" i="18"/>
  <c r="O83" i="18"/>
  <c r="N82" i="18"/>
  <c r="L75" i="18"/>
  <c r="L76" i="18"/>
  <c r="L77" i="18"/>
  <c r="L78" i="18"/>
  <c r="L79" i="18"/>
  <c r="L80" i="18"/>
  <c r="L81" i="18"/>
  <c r="O70" i="18"/>
  <c r="N68" i="18"/>
  <c r="G68" i="18"/>
  <c r="L68" i="18" s="1"/>
  <c r="L69" i="18"/>
  <c r="L67" i="18"/>
  <c r="L65" i="18"/>
  <c r="N65" i="18"/>
  <c r="N60" i="18"/>
  <c r="L64" i="18"/>
  <c r="N50" i="18"/>
  <c r="M50" i="18"/>
  <c r="L44" i="18"/>
  <c r="L42" i="18"/>
  <c r="N42" i="18"/>
  <c r="M42" i="18"/>
  <c r="L39" i="18"/>
  <c r="L40" i="18"/>
  <c r="O35" i="18"/>
  <c r="L34" i="18"/>
  <c r="O34" i="18"/>
  <c r="M34" i="18"/>
  <c r="N34" i="18"/>
  <c r="L32" i="18"/>
  <c r="I72" i="18"/>
  <c r="M24" i="18"/>
  <c r="N14" i="18"/>
  <c r="O14" i="18"/>
  <c r="B9" i="17"/>
  <c r="O8" i="18"/>
  <c r="H8" i="18"/>
  <c r="H72" i="18" s="1"/>
  <c r="E82" i="18"/>
  <c r="O82" i="18" s="1"/>
  <c r="C65" i="18"/>
  <c r="M65" i="18" s="1"/>
  <c r="B60" i="18"/>
  <c r="L60" i="18" s="1"/>
  <c r="B50" i="18"/>
  <c r="L50" i="18" s="1"/>
  <c r="H73" i="16"/>
  <c r="M73" i="16"/>
  <c r="D73" i="16"/>
  <c r="N73" i="16"/>
  <c r="E24" i="18"/>
  <c r="O24" i="18" s="1"/>
  <c r="L73" i="16"/>
  <c r="K73" i="16"/>
  <c r="J73" i="16"/>
  <c r="D24" i="18"/>
  <c r="N24" i="18" s="1"/>
  <c r="I73" i="16"/>
  <c r="F73" i="16"/>
  <c r="F85" i="16" s="1"/>
  <c r="B25" i="16"/>
  <c r="B24" i="18"/>
  <c r="B15" i="16"/>
  <c r="E73" i="16"/>
  <c r="E85" i="16" s="1"/>
  <c r="B14" i="18"/>
  <c r="B9" i="16"/>
  <c r="C72" i="18"/>
  <c r="L9" i="18"/>
  <c r="J72" i="18"/>
  <c r="O16" i="18"/>
  <c r="O36" i="18"/>
  <c r="O44" i="18"/>
  <c r="O52" i="18"/>
  <c r="E65" i="18"/>
  <c r="O65" i="18" s="1"/>
  <c r="O68" i="18"/>
  <c r="L8" i="18"/>
  <c r="N8" i="18"/>
  <c r="C73" i="17"/>
  <c r="C73" i="16"/>
  <c r="C85" i="16" s="1"/>
  <c r="C83" i="18" l="1"/>
  <c r="M83" i="18"/>
  <c r="C82" i="18"/>
  <c r="M82" i="18" s="1"/>
  <c r="B83" i="18"/>
  <c r="B82" i="18" s="1"/>
  <c r="L14" i="18"/>
  <c r="G83" i="18"/>
  <c r="L24" i="18"/>
  <c r="B73" i="17"/>
  <c r="B85" i="17" s="1"/>
  <c r="G72" i="18"/>
  <c r="M72" i="18"/>
  <c r="M8" i="18"/>
  <c r="N27" i="18"/>
  <c r="E72" i="18"/>
  <c r="O72" i="18" s="1"/>
  <c r="D72" i="18"/>
  <c r="N72" i="18" s="1"/>
  <c r="B73" i="16"/>
  <c r="B85" i="16" s="1"/>
  <c r="B72" i="18"/>
  <c r="G82" i="18" l="1"/>
  <c r="L82" i="18" s="1"/>
  <c r="L83" i="18"/>
  <c r="L72" i="18"/>
  <c r="A2" i="6"/>
  <c r="JI113" i="13" l="1"/>
  <c r="JL113" i="13" s="1"/>
  <c r="JI112" i="13"/>
  <c r="JL112" i="13" s="1"/>
  <c r="JI111" i="13"/>
  <c r="JL111" i="13" s="1"/>
  <c r="JI110" i="13"/>
  <c r="JL110" i="13" s="1"/>
  <c r="JI109" i="13"/>
  <c r="JL109" i="13" s="1"/>
  <c r="JI108" i="13"/>
  <c r="JL108" i="13" s="1"/>
  <c r="JI107" i="13"/>
  <c r="JL107" i="13" s="1"/>
  <c r="JI106" i="13"/>
  <c r="JL106" i="13" s="1"/>
  <c r="JI105" i="13"/>
  <c r="JL105" i="13" s="1"/>
  <c r="JI104" i="13"/>
  <c r="JL104" i="13" s="1"/>
  <c r="JI103" i="13"/>
  <c r="JL103" i="13" s="1"/>
  <c r="JI102" i="13"/>
  <c r="JL102" i="13" s="1"/>
  <c r="JI101" i="13"/>
  <c r="JL101" i="13" s="1"/>
  <c r="JI100" i="13"/>
  <c r="JP125" i="13"/>
  <c r="JN125" i="13"/>
  <c r="JM125" i="13"/>
  <c r="G501" i="4"/>
  <c r="G496" i="4"/>
  <c r="G491" i="4"/>
  <c r="G487" i="4"/>
  <c r="G483" i="4"/>
  <c r="G479" i="4"/>
  <c r="G475" i="4"/>
  <c r="G470" i="4"/>
  <c r="G466" i="4"/>
  <c r="G460" i="4"/>
  <c r="G458" i="4"/>
  <c r="G454" i="4"/>
  <c r="G451" i="4"/>
  <c r="G448" i="4"/>
  <c r="G443" i="4"/>
  <c r="G441" i="4"/>
  <c r="G437" i="4"/>
  <c r="G433" i="4"/>
  <c r="G430" i="4"/>
  <c r="G426" i="4"/>
  <c r="G421" i="4"/>
  <c r="G417" i="4"/>
  <c r="G413" i="4"/>
  <c r="G409" i="4"/>
  <c r="G404" i="4"/>
  <c r="G399" i="4"/>
  <c r="G395" i="4"/>
  <c r="G391" i="4"/>
  <c r="G387" i="4"/>
  <c r="G382" i="4"/>
  <c r="G378" i="4"/>
  <c r="G374" i="4"/>
  <c r="G370" i="4"/>
  <c r="G365" i="4"/>
  <c r="G361" i="4"/>
  <c r="G356" i="4"/>
  <c r="G352" i="4"/>
  <c r="G347" i="4"/>
  <c r="G343" i="4"/>
  <c r="G339" i="4"/>
  <c r="G334" i="4"/>
  <c r="G332" i="4"/>
  <c r="G329" i="4"/>
  <c r="G326" i="4"/>
  <c r="G323" i="4"/>
  <c r="G319" i="4"/>
  <c r="G315" i="4"/>
  <c r="G311" i="4"/>
  <c r="G307" i="4"/>
  <c r="G302" i="4"/>
  <c r="B10" i="6" s="1"/>
  <c r="G300" i="4"/>
  <c r="G298" i="4"/>
  <c r="G296" i="4"/>
  <c r="G293" i="4"/>
  <c r="G291" i="4"/>
  <c r="G289" i="4"/>
  <c r="G285" i="4"/>
  <c r="G282" i="4"/>
  <c r="G280" i="4"/>
  <c r="G278" i="4"/>
  <c r="G275" i="4"/>
  <c r="G273" i="4"/>
  <c r="G270" i="4"/>
  <c r="G267" i="4"/>
  <c r="G265" i="4"/>
  <c r="G263" i="4"/>
  <c r="G258" i="4"/>
  <c r="G254" i="4"/>
  <c r="G249" i="4"/>
  <c r="G244" i="4"/>
  <c r="G240" i="4"/>
  <c r="G236" i="4"/>
  <c r="G231" i="4"/>
  <c r="G227" i="4"/>
  <c r="G222" i="4"/>
  <c r="G220" i="4"/>
  <c r="G216" i="4"/>
  <c r="G211" i="4"/>
  <c r="G207" i="4"/>
  <c r="G205" i="4"/>
  <c r="G202" i="4"/>
  <c r="G200" i="4"/>
  <c r="G198" i="4"/>
  <c r="G195" i="4"/>
  <c r="G193" i="4"/>
  <c r="G190" i="4"/>
  <c r="G187" i="4"/>
  <c r="G183" i="4"/>
  <c r="G178" i="4"/>
  <c r="G175" i="4"/>
  <c r="G173" i="4"/>
  <c r="G171" i="4"/>
  <c r="G169" i="4"/>
  <c r="G166" i="4"/>
  <c r="G164" i="4"/>
  <c r="G162" i="4"/>
  <c r="G160" i="4"/>
  <c r="G156" i="4"/>
  <c r="G152" i="4"/>
  <c r="G147" i="4"/>
  <c r="G143" i="4"/>
  <c r="G139" i="4"/>
  <c r="G135" i="4"/>
  <c r="G133" i="4"/>
  <c r="G131" i="4"/>
  <c r="G127" i="4"/>
  <c r="G122" i="4"/>
  <c r="G118" i="4"/>
  <c r="G113" i="4"/>
  <c r="G108" i="4"/>
  <c r="G103" i="4"/>
  <c r="G100" i="4"/>
  <c r="G96" i="4"/>
  <c r="G92" i="4"/>
  <c r="G86" i="4"/>
  <c r="G82" i="4"/>
  <c r="G77" i="4"/>
  <c r="G75" i="4"/>
  <c r="G70" i="4"/>
  <c r="G67" i="4"/>
  <c r="G63" i="4"/>
  <c r="G61" i="4"/>
  <c r="G59" i="4"/>
  <c r="G57" i="4"/>
  <c r="G55" i="4"/>
  <c r="G50" i="4"/>
  <c r="JI56" i="13"/>
  <c r="JL56" i="13" s="1"/>
  <c r="JI55" i="13"/>
  <c r="JL55" i="13" s="1"/>
  <c r="JI54" i="13"/>
  <c r="JL54" i="13" s="1"/>
  <c r="JI53" i="13"/>
  <c r="JL53" i="13" s="1"/>
  <c r="JI52" i="13"/>
  <c r="JL52" i="13" s="1"/>
  <c r="JI51" i="13"/>
  <c r="JL51" i="13" s="1"/>
  <c r="JI50" i="13"/>
  <c r="JL50" i="13" s="1"/>
  <c r="JI49" i="13"/>
  <c r="JL49" i="13" s="1"/>
  <c r="JI48" i="13"/>
  <c r="JL48" i="13" s="1"/>
  <c r="JI47" i="13"/>
  <c r="JL47" i="13" s="1"/>
  <c r="JI46" i="13"/>
  <c r="JL46" i="13" s="1"/>
  <c r="JI45" i="13"/>
  <c r="JL45" i="13" s="1"/>
  <c r="JI44" i="13"/>
  <c r="JL44" i="13" s="1"/>
  <c r="JI43" i="13"/>
  <c r="JL43" i="13" s="1"/>
  <c r="JI42" i="13"/>
  <c r="JL42" i="13" s="1"/>
  <c r="JI41" i="13"/>
  <c r="JL41" i="13" s="1"/>
  <c r="JI40" i="13"/>
  <c r="JL40" i="13" s="1"/>
  <c r="JI39" i="13"/>
  <c r="JL39" i="13" s="1"/>
  <c r="JI38" i="13"/>
  <c r="JL38" i="13" s="1"/>
  <c r="JI37" i="13"/>
  <c r="JL37" i="13" s="1"/>
  <c r="JI36" i="13"/>
  <c r="JL36" i="13" s="1"/>
  <c r="JI35" i="13"/>
  <c r="JL35" i="13" s="1"/>
  <c r="JI34" i="13"/>
  <c r="JL34" i="13" s="1"/>
  <c r="JI33" i="13"/>
  <c r="JL33" i="13" s="1"/>
  <c r="JI32" i="13"/>
  <c r="JL32" i="13" s="1"/>
  <c r="JI31" i="13"/>
  <c r="JL31" i="13" s="1"/>
  <c r="JI30" i="13"/>
  <c r="JL30" i="13" s="1"/>
  <c r="JI29" i="13"/>
  <c r="JL29" i="13" s="1"/>
  <c r="JI28" i="13"/>
  <c r="JL28" i="13" s="1"/>
  <c r="JI27" i="13"/>
  <c r="JL27" i="13" s="1"/>
  <c r="JI26" i="13"/>
  <c r="JL26" i="13" s="1"/>
  <c r="JI25" i="13"/>
  <c r="JL25" i="13" s="1"/>
  <c r="JI24" i="13"/>
  <c r="JL24" i="13" s="1"/>
  <c r="JI23" i="13"/>
  <c r="JL23" i="13" s="1"/>
  <c r="JI22" i="13"/>
  <c r="JL22" i="13" s="1"/>
  <c r="JI21" i="13"/>
  <c r="JL21" i="13" s="1"/>
  <c r="JI20" i="13"/>
  <c r="JL20" i="13" s="1"/>
  <c r="JI19" i="13"/>
  <c r="JL19" i="13" s="1"/>
  <c r="JI18" i="13"/>
  <c r="JL18" i="13" s="1"/>
  <c r="JI17" i="13"/>
  <c r="JL17" i="13" s="1"/>
  <c r="JI16" i="13"/>
  <c r="JL16" i="13" s="1"/>
  <c r="JI15" i="13"/>
  <c r="JL15" i="13" s="1"/>
  <c r="JI14" i="13"/>
  <c r="JL14" i="13" s="1"/>
  <c r="JI13" i="13"/>
  <c r="JL13" i="13" s="1"/>
  <c r="JI12" i="13"/>
  <c r="JL12" i="13" s="1"/>
  <c r="JI11" i="13"/>
  <c r="JL11" i="13" s="1"/>
  <c r="JI10" i="13"/>
  <c r="JL10" i="13" s="1"/>
  <c r="JI9" i="13"/>
  <c r="JL9" i="13" s="1"/>
  <c r="JI8" i="13"/>
  <c r="JL8" i="13" s="1"/>
  <c r="JI7" i="13"/>
  <c r="JL7" i="13" s="1"/>
  <c r="JI6" i="13"/>
  <c r="JL6" i="13" s="1"/>
  <c r="JI5" i="13"/>
  <c r="JL5" i="13" s="1"/>
  <c r="JI4" i="13"/>
  <c r="JO3" i="13"/>
  <c r="JO125" i="13" s="1"/>
  <c r="JI3" i="13"/>
  <c r="JL3" i="13" l="1"/>
  <c r="JL4" i="13"/>
  <c r="JL100" i="13"/>
  <c r="G49" i="4"/>
  <c r="G46" i="4" s="1"/>
  <c r="G27" i="4" s="1"/>
  <c r="G53" i="4"/>
  <c r="G56" i="4"/>
  <c r="G58" i="4"/>
  <c r="G60" i="4"/>
  <c r="G62" i="4"/>
  <c r="G66" i="4"/>
  <c r="G69" i="4"/>
  <c r="G73" i="4"/>
  <c r="G76" i="4"/>
  <c r="G80" i="4"/>
  <c r="G84" i="4"/>
  <c r="G90" i="4"/>
  <c r="G94" i="4"/>
  <c r="G98" i="4"/>
  <c r="G101" i="4"/>
  <c r="G105" i="4"/>
  <c r="G110" i="4"/>
  <c r="G115" i="4"/>
  <c r="G120" i="4"/>
  <c r="G124" i="4"/>
  <c r="G129" i="4"/>
  <c r="G132" i="4"/>
  <c r="G134" i="4"/>
  <c r="G137" i="4"/>
  <c r="G141" i="4"/>
  <c r="G145" i="4"/>
  <c r="G150" i="4"/>
  <c r="G154" i="4"/>
  <c r="G159" i="4"/>
  <c r="G161" i="4"/>
  <c r="G163" i="4"/>
  <c r="G165" i="4"/>
  <c r="G168" i="4"/>
  <c r="G170" i="4"/>
  <c r="G172" i="4"/>
  <c r="G174" i="4"/>
  <c r="G176" i="4"/>
  <c r="G181" i="4"/>
  <c r="G185" i="4"/>
  <c r="G189" i="4"/>
  <c r="G191" i="4"/>
  <c r="G194" i="4"/>
  <c r="G196" i="4"/>
  <c r="G199" i="4"/>
  <c r="G201" i="4"/>
  <c r="G203" i="4"/>
  <c r="G206" i="4"/>
  <c r="G210" i="4"/>
  <c r="G215" i="4"/>
  <c r="G218" i="4"/>
  <c r="G221" i="4"/>
  <c r="G224" i="4"/>
  <c r="G229" i="4"/>
  <c r="G234" i="4"/>
  <c r="G238" i="4"/>
  <c r="G242" i="4"/>
  <c r="G247" i="4"/>
  <c r="G252" i="4"/>
  <c r="G256" i="4"/>
  <c r="G260" i="4"/>
  <c r="G264" i="4"/>
  <c r="G266" i="4"/>
  <c r="G269" i="4"/>
  <c r="G271" i="4"/>
  <c r="G274" i="4"/>
  <c r="G277" i="4"/>
  <c r="G279" i="4"/>
  <c r="G281" i="4"/>
  <c r="G283" i="4"/>
  <c r="G288" i="4"/>
  <c r="B29" i="6" s="1"/>
  <c r="G290" i="4"/>
  <c r="B30" i="6" s="1"/>
  <c r="G292" i="4"/>
  <c r="G294" i="4"/>
  <c r="B31" i="6" s="1"/>
  <c r="G297" i="4"/>
  <c r="G299" i="4"/>
  <c r="G301" i="4"/>
  <c r="G305" i="4"/>
  <c r="G310" i="4"/>
  <c r="G313" i="4"/>
  <c r="G317" i="4"/>
  <c r="G321" i="4"/>
  <c r="G325" i="4"/>
  <c r="G328" i="4"/>
  <c r="G331" i="4"/>
  <c r="G333" i="4"/>
  <c r="G335" i="4"/>
  <c r="G341" i="4"/>
  <c r="G345" i="4"/>
  <c r="G350" i="4"/>
  <c r="G354" i="4"/>
  <c r="G359" i="4"/>
  <c r="G363" i="4"/>
  <c r="G368" i="4"/>
  <c r="G372" i="4"/>
  <c r="G376" i="4"/>
  <c r="G380" i="4"/>
  <c r="G385" i="4"/>
  <c r="G389" i="4"/>
  <c r="G393" i="4"/>
  <c r="G397" i="4"/>
  <c r="G402" i="4"/>
  <c r="G407" i="4"/>
  <c r="G411" i="4"/>
  <c r="G415" i="4"/>
  <c r="G419" i="4"/>
  <c r="G423" i="4"/>
  <c r="G428" i="4"/>
  <c r="G431" i="4"/>
  <c r="G435" i="4"/>
  <c r="G439" i="4"/>
  <c r="G442" i="4"/>
  <c r="G445" i="4"/>
  <c r="G449" i="4"/>
  <c r="G452" i="4"/>
  <c r="G456" i="4"/>
  <c r="G459" i="4"/>
  <c r="G462" i="4"/>
  <c r="G468" i="4"/>
  <c r="G472" i="4"/>
  <c r="G477" i="4"/>
  <c r="G481" i="4"/>
  <c r="G485" i="4"/>
  <c r="G489" i="4"/>
  <c r="G494" i="4"/>
  <c r="G499" i="4"/>
  <c r="B11" i="6"/>
  <c r="B105" i="1"/>
  <c r="H30" i="4" s="1"/>
  <c r="C105" i="1"/>
  <c r="H31" i="4" s="1"/>
  <c r="I31" i="4" s="1"/>
  <c r="D105" i="1"/>
  <c r="E105" i="1"/>
  <c r="H33" i="4" s="1"/>
  <c r="I33" i="4" s="1"/>
  <c r="F105" i="1"/>
  <c r="H34" i="4" s="1"/>
  <c r="I34" i="4" s="1"/>
  <c r="G105" i="1"/>
  <c r="H36" i="4" s="1"/>
  <c r="H105" i="1"/>
  <c r="I105" i="1"/>
  <c r="H38" i="4" s="1"/>
  <c r="I38" i="4" s="1"/>
  <c r="J105" i="1"/>
  <c r="H39" i="4" s="1"/>
  <c r="I39" i="4" s="1"/>
  <c r="K105" i="1"/>
  <c r="H40" i="4" s="1"/>
  <c r="I40" i="4" s="1"/>
  <c r="L105" i="1"/>
  <c r="M105" i="1"/>
  <c r="H43" i="4" s="1"/>
  <c r="N105" i="1"/>
  <c r="H45" i="4" s="1"/>
  <c r="O105" i="1"/>
  <c r="H47" i="4" s="1"/>
  <c r="I47" i="4" s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H75" i="4" s="1"/>
  <c r="AI105" i="1"/>
  <c r="H76" i="4" s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EW105" i="1"/>
  <c r="EX105" i="1"/>
  <c r="EY105" i="1"/>
  <c r="EZ105" i="1"/>
  <c r="FA105" i="1"/>
  <c r="FB105" i="1"/>
  <c r="FC105" i="1"/>
  <c r="FD105" i="1"/>
  <c r="FE105" i="1"/>
  <c r="FF105" i="1"/>
  <c r="FG105" i="1"/>
  <c r="FH105" i="1"/>
  <c r="FI105" i="1"/>
  <c r="FJ105" i="1"/>
  <c r="FK105" i="1"/>
  <c r="FL105" i="1"/>
  <c r="FM105" i="1"/>
  <c r="FN105" i="1"/>
  <c r="FO105" i="1"/>
  <c r="FP105" i="1"/>
  <c r="FQ105" i="1"/>
  <c r="FR105" i="1"/>
  <c r="FS105" i="1"/>
  <c r="FT105" i="1"/>
  <c r="FU105" i="1"/>
  <c r="FV105" i="1"/>
  <c r="FW105" i="1"/>
  <c r="FX105" i="1"/>
  <c r="FY105" i="1"/>
  <c r="FZ105" i="1"/>
  <c r="GA105" i="1"/>
  <c r="GB105" i="1"/>
  <c r="GC105" i="1"/>
  <c r="GD105" i="1"/>
  <c r="GE105" i="1"/>
  <c r="GF105" i="1"/>
  <c r="GG105" i="1"/>
  <c r="GH105" i="1"/>
  <c r="GI105" i="1"/>
  <c r="GJ105" i="1"/>
  <c r="GK105" i="1"/>
  <c r="GL105" i="1"/>
  <c r="GM105" i="1"/>
  <c r="GN105" i="1"/>
  <c r="GO105" i="1"/>
  <c r="GP105" i="1"/>
  <c r="GQ105" i="1"/>
  <c r="GR105" i="1"/>
  <c r="GS105" i="1"/>
  <c r="GT105" i="1"/>
  <c r="GU105" i="1"/>
  <c r="GV105" i="1"/>
  <c r="GW105" i="1"/>
  <c r="GX105" i="1"/>
  <c r="GY105" i="1"/>
  <c r="GZ105" i="1"/>
  <c r="HA105" i="1"/>
  <c r="HB105" i="1"/>
  <c r="HC105" i="1"/>
  <c r="HD105" i="1"/>
  <c r="HE105" i="1"/>
  <c r="HF105" i="1"/>
  <c r="HG105" i="1"/>
  <c r="HH105" i="1"/>
  <c r="HI105" i="1"/>
  <c r="HJ105" i="1"/>
  <c r="HK105" i="1"/>
  <c r="HL105" i="1"/>
  <c r="HM105" i="1"/>
  <c r="HN105" i="1"/>
  <c r="HO105" i="1"/>
  <c r="HP105" i="1"/>
  <c r="HQ105" i="1"/>
  <c r="HR105" i="1"/>
  <c r="HS105" i="1"/>
  <c r="HT105" i="1"/>
  <c r="HU105" i="1"/>
  <c r="HV105" i="1"/>
  <c r="HW105" i="1"/>
  <c r="HX105" i="1"/>
  <c r="HY105" i="1"/>
  <c r="HZ105" i="1"/>
  <c r="IA105" i="1"/>
  <c r="IB105" i="1"/>
  <c r="IC105" i="1"/>
  <c r="ID105" i="1"/>
  <c r="IE105" i="1"/>
  <c r="IF105" i="1"/>
  <c r="IG105" i="1"/>
  <c r="IH105" i="1"/>
  <c r="II105" i="1"/>
  <c r="IJ105" i="1"/>
  <c r="IK105" i="1"/>
  <c r="IL105" i="1"/>
  <c r="IM105" i="1"/>
  <c r="IN105" i="1"/>
  <c r="IO105" i="1"/>
  <c r="IP105" i="1"/>
  <c r="IQ105" i="1"/>
  <c r="IR105" i="1"/>
  <c r="IS105" i="1"/>
  <c r="IT105" i="1"/>
  <c r="IU105" i="1"/>
  <c r="IV105" i="1"/>
  <c r="IW105" i="1"/>
  <c r="IX105" i="1"/>
  <c r="IY105" i="1"/>
  <c r="IZ105" i="1"/>
  <c r="JA105" i="1"/>
  <c r="JB105" i="1"/>
  <c r="JC105" i="1"/>
  <c r="JD105" i="1"/>
  <c r="JE105" i="1"/>
  <c r="JF105" i="1"/>
  <c r="JG105" i="1"/>
  <c r="JH105" i="1"/>
  <c r="JI92" i="1"/>
  <c r="JI93" i="1"/>
  <c r="JI94" i="1"/>
  <c r="JI95" i="1"/>
  <c r="JI96" i="1"/>
  <c r="JI97" i="1"/>
  <c r="JI98" i="1"/>
  <c r="JI99" i="1"/>
  <c r="JI100" i="1"/>
  <c r="JI101" i="1"/>
  <c r="JI102" i="1"/>
  <c r="JI103" i="1"/>
  <c r="JI104" i="1"/>
  <c r="JI91" i="1"/>
  <c r="H32" i="4"/>
  <c r="I32" i="4" s="1"/>
  <c r="H37" i="4"/>
  <c r="I37" i="4" s="1"/>
  <c r="H41" i="4"/>
  <c r="I41" i="4" s="1"/>
  <c r="H48" i="4"/>
  <c r="I48" i="4" s="1"/>
  <c r="JI4" i="1"/>
  <c r="JI5" i="1"/>
  <c r="JI3" i="1"/>
  <c r="JI106" i="1" l="1"/>
  <c r="H44" i="4"/>
  <c r="I44" i="4" s="1"/>
  <c r="I45" i="4"/>
  <c r="I30" i="4"/>
  <c r="H28" i="4"/>
  <c r="I28" i="4" s="1"/>
  <c r="H42" i="4"/>
  <c r="I42" i="4" s="1"/>
  <c r="I43" i="4"/>
  <c r="I36" i="4"/>
  <c r="H35" i="4"/>
  <c r="I35" i="4" s="1"/>
  <c r="JL125" i="13"/>
  <c r="JL126" i="13"/>
  <c r="JL98" i="13"/>
  <c r="G450" i="4"/>
  <c r="G447" i="4"/>
  <c r="H452" i="4"/>
  <c r="I452" i="4" s="1"/>
  <c r="H449" i="4"/>
  <c r="I449" i="4" s="1"/>
  <c r="H329" i="4"/>
  <c r="I329" i="4" l="1"/>
  <c r="H147" i="4"/>
  <c r="H146" i="4" s="1"/>
  <c r="G146" i="4" l="1"/>
  <c r="I146" i="4" s="1"/>
  <c r="H311" i="4"/>
  <c r="I311" i="4" s="1"/>
  <c r="G177" i="4"/>
  <c r="I147" i="4" l="1"/>
  <c r="H211" i="4"/>
  <c r="I211" i="4" l="1"/>
  <c r="JO89" i="1"/>
  <c r="JM89" i="1"/>
  <c r="JN89" i="1"/>
  <c r="JP89" i="1"/>
  <c r="H57" i="4"/>
  <c r="H100" i="4"/>
  <c r="H127" i="4"/>
  <c r="H126" i="4" s="1"/>
  <c r="H150" i="4"/>
  <c r="H149" i="4" s="1"/>
  <c r="H168" i="4"/>
  <c r="H185" i="4"/>
  <c r="H184" i="4" s="1"/>
  <c r="H201" i="4"/>
  <c r="H222" i="4"/>
  <c r="I222" i="4" s="1"/>
  <c r="H249" i="4"/>
  <c r="H248" i="4" s="1"/>
  <c r="H270" i="4"/>
  <c r="H285" i="4"/>
  <c r="I285" i="4" s="1"/>
  <c r="H300" i="4"/>
  <c r="H325" i="4"/>
  <c r="H335" i="4"/>
  <c r="I335" i="4" s="1"/>
  <c r="H347" i="4"/>
  <c r="H346" i="4" s="1"/>
  <c r="H363" i="4"/>
  <c r="I363" i="4" s="1"/>
  <c r="H389" i="4"/>
  <c r="H399" i="4"/>
  <c r="H415" i="4"/>
  <c r="I415" i="4" s="1"/>
  <c r="H426" i="4"/>
  <c r="H425" i="4" s="1"/>
  <c r="H439" i="4"/>
  <c r="H438" i="4" s="1"/>
  <c r="H460" i="4"/>
  <c r="I460" i="4" s="1"/>
  <c r="H487" i="4"/>
  <c r="H486" i="4" s="1"/>
  <c r="H501" i="4"/>
  <c r="I501" i="4" s="1"/>
  <c r="G52" i="4"/>
  <c r="G54" i="4"/>
  <c r="G65" i="4"/>
  <c r="G68" i="4"/>
  <c r="G72" i="4"/>
  <c r="G74" i="4"/>
  <c r="G79" i="4"/>
  <c r="G81" i="4"/>
  <c r="G83" i="4"/>
  <c r="G85" i="4"/>
  <c r="G128" i="4"/>
  <c r="G138" i="4"/>
  <c r="G140" i="4"/>
  <c r="G142" i="4"/>
  <c r="G153" i="4"/>
  <c r="G155" i="4"/>
  <c r="G217" i="4"/>
  <c r="G223" i="4"/>
  <c r="G248" i="4"/>
  <c r="G284" i="4"/>
  <c r="G304" i="4"/>
  <c r="G306" i="4"/>
  <c r="G316" i="4"/>
  <c r="G322" i="4"/>
  <c r="G330" i="4"/>
  <c r="G338" i="4"/>
  <c r="G340" i="4"/>
  <c r="G342" i="4"/>
  <c r="G344" i="4"/>
  <c r="G346" i="4"/>
  <c r="G349" i="4"/>
  <c r="G351" i="4"/>
  <c r="G353" i="4"/>
  <c r="G355" i="4"/>
  <c r="G358" i="4"/>
  <c r="G360" i="4"/>
  <c r="G362" i="4"/>
  <c r="G364" i="4"/>
  <c r="G367" i="4"/>
  <c r="G369" i="4"/>
  <c r="G371" i="4"/>
  <c r="G373" i="4"/>
  <c r="G375" i="4"/>
  <c r="G377" i="4"/>
  <c r="G379" i="4"/>
  <c r="G381" i="4"/>
  <c r="G384" i="4"/>
  <c r="G386" i="4"/>
  <c r="G388" i="4"/>
  <c r="G390" i="4"/>
  <c r="G392" i="4"/>
  <c r="G394" i="4"/>
  <c r="G396" i="4"/>
  <c r="G398" i="4"/>
  <c r="G401" i="4"/>
  <c r="G403" i="4"/>
  <c r="G406" i="4"/>
  <c r="G408" i="4"/>
  <c r="G410" i="4"/>
  <c r="G412" i="4"/>
  <c r="G414" i="4"/>
  <c r="G416" i="4"/>
  <c r="G418" i="4"/>
  <c r="G420" i="4"/>
  <c r="G422" i="4"/>
  <c r="G425" i="4"/>
  <c r="G427" i="4"/>
  <c r="G429" i="4"/>
  <c r="G432" i="4"/>
  <c r="G434" i="4"/>
  <c r="G436" i="4"/>
  <c r="G438" i="4"/>
  <c r="G440" i="4"/>
  <c r="G444" i="4"/>
  <c r="G453" i="4"/>
  <c r="G455" i="4"/>
  <c r="G457" i="4"/>
  <c r="G461" i="4"/>
  <c r="G465" i="4"/>
  <c r="G467" i="4"/>
  <c r="G469" i="4"/>
  <c r="G471" i="4"/>
  <c r="G474" i="4"/>
  <c r="G476" i="4"/>
  <c r="G478" i="4"/>
  <c r="G480" i="4"/>
  <c r="G482" i="4"/>
  <c r="G484" i="4"/>
  <c r="G486" i="4"/>
  <c r="G488" i="4"/>
  <c r="G490" i="4"/>
  <c r="G493" i="4"/>
  <c r="G495" i="4"/>
  <c r="G498" i="4"/>
  <c r="G500" i="4"/>
  <c r="H92" i="4" l="1"/>
  <c r="H91" i="4" s="1"/>
  <c r="H315" i="4"/>
  <c r="H314" i="4" s="1"/>
  <c r="H294" i="4"/>
  <c r="I294" i="4" s="1"/>
  <c r="H279" i="4"/>
  <c r="H264" i="4"/>
  <c r="H238" i="4"/>
  <c r="H237" i="4" s="1"/>
  <c r="H215" i="4"/>
  <c r="H195" i="4"/>
  <c r="I195" i="4" s="1"/>
  <c r="H175" i="4"/>
  <c r="H162" i="4"/>
  <c r="I162" i="4" s="1"/>
  <c r="H137" i="4"/>
  <c r="H136" i="4" s="1"/>
  <c r="H115" i="4"/>
  <c r="H114" i="4" s="1"/>
  <c r="H90" i="4"/>
  <c r="H89" i="4" s="1"/>
  <c r="H66" i="4"/>
  <c r="I66" i="4" s="1"/>
  <c r="H49" i="4"/>
  <c r="I168" i="4"/>
  <c r="H499" i="4"/>
  <c r="I499" i="4" s="1"/>
  <c r="H472" i="4"/>
  <c r="H471" i="4" s="1"/>
  <c r="I471" i="4" s="1"/>
  <c r="H445" i="4"/>
  <c r="H444" i="4" s="1"/>
  <c r="I444" i="4" s="1"/>
  <c r="G114" i="4"/>
  <c r="I114" i="4" s="1"/>
  <c r="G228" i="4"/>
  <c r="G102" i="4"/>
  <c r="G235" i="4"/>
  <c r="G149" i="4"/>
  <c r="I149" i="4" s="1"/>
  <c r="I270" i="4"/>
  <c r="G214" i="4"/>
  <c r="G243" i="4"/>
  <c r="G186" i="4"/>
  <c r="H496" i="4"/>
  <c r="I496" i="4" s="1"/>
  <c r="H470" i="4"/>
  <c r="I470" i="4" s="1"/>
  <c r="H443" i="4"/>
  <c r="I443" i="4" s="1"/>
  <c r="H423" i="4"/>
  <c r="I423" i="4" s="1"/>
  <c r="H397" i="4"/>
  <c r="H396" i="4" s="1"/>
  <c r="I396" i="4" s="1"/>
  <c r="H345" i="4"/>
  <c r="I345" i="4" s="1"/>
  <c r="H323" i="4"/>
  <c r="H322" i="4" s="1"/>
  <c r="I322" i="4" s="1"/>
  <c r="H299" i="4"/>
  <c r="I299" i="4" s="1"/>
  <c r="H283" i="4"/>
  <c r="H269" i="4"/>
  <c r="H247" i="4"/>
  <c r="H246" i="4" s="1"/>
  <c r="H245" i="4" s="1"/>
  <c r="H221" i="4"/>
  <c r="H200" i="4"/>
  <c r="I200" i="4" s="1"/>
  <c r="H183" i="4"/>
  <c r="H166" i="4"/>
  <c r="H145" i="4"/>
  <c r="H124" i="4"/>
  <c r="H123" i="4" s="1"/>
  <c r="H98" i="4"/>
  <c r="H97" i="4" s="1"/>
  <c r="I75" i="4"/>
  <c r="H56" i="4"/>
  <c r="I56" i="4" s="1"/>
  <c r="G303" i="4"/>
  <c r="H459" i="4"/>
  <c r="I459" i="4" s="1"/>
  <c r="H413" i="4"/>
  <c r="I413" i="4" s="1"/>
  <c r="H361" i="4"/>
  <c r="H360" i="4" s="1"/>
  <c r="I360" i="4" s="1"/>
  <c r="H334" i="4"/>
  <c r="I334" i="4" s="1"/>
  <c r="H313" i="4"/>
  <c r="H312" i="4" s="1"/>
  <c r="H293" i="4"/>
  <c r="H278" i="4"/>
  <c r="I278" i="4" s="1"/>
  <c r="H263" i="4"/>
  <c r="H236" i="4"/>
  <c r="H235" i="4" s="1"/>
  <c r="H210" i="4"/>
  <c r="H209" i="4" s="1"/>
  <c r="H208" i="4" s="1"/>
  <c r="H194" i="4"/>
  <c r="H174" i="4"/>
  <c r="H161" i="4"/>
  <c r="I161" i="4" s="1"/>
  <c r="H135" i="4"/>
  <c r="H113" i="4"/>
  <c r="H112" i="4" s="1"/>
  <c r="H86" i="4"/>
  <c r="H85" i="4" s="1"/>
  <c r="I85" i="4" s="1"/>
  <c r="H63" i="4"/>
  <c r="I63" i="4" s="1"/>
  <c r="H437" i="4"/>
  <c r="I437" i="4" s="1"/>
  <c r="H387" i="4"/>
  <c r="H386" i="4" s="1"/>
  <c r="I386" i="4" s="1"/>
  <c r="H483" i="4"/>
  <c r="I483" i="4" s="1"/>
  <c r="H475" i="4"/>
  <c r="H474" i="4" s="1"/>
  <c r="H458" i="4"/>
  <c r="I458" i="4" s="1"/>
  <c r="H448" i="4"/>
  <c r="H435" i="4"/>
  <c r="I435" i="4" s="1"/>
  <c r="H428" i="4"/>
  <c r="H427" i="4" s="1"/>
  <c r="I427" i="4" s="1"/>
  <c r="H411" i="4"/>
  <c r="H410" i="4" s="1"/>
  <c r="I410" i="4" s="1"/>
  <c r="H402" i="4"/>
  <c r="I402" i="4" s="1"/>
  <c r="H385" i="4"/>
  <c r="H384" i="4" s="1"/>
  <c r="H376" i="4"/>
  <c r="I376" i="4" s="1"/>
  <c r="H359" i="4"/>
  <c r="I359" i="4" s="1"/>
  <c r="H350" i="4"/>
  <c r="I350" i="4" s="1"/>
  <c r="H333" i="4"/>
  <c r="I333" i="4" s="1"/>
  <c r="H326" i="4"/>
  <c r="H324" i="4" s="1"/>
  <c r="H310" i="4"/>
  <c r="H309" i="4" s="1"/>
  <c r="C32" i="6" s="1"/>
  <c r="H301" i="4"/>
  <c r="H292" i="4"/>
  <c r="H288" i="4"/>
  <c r="C29" i="6" s="1"/>
  <c r="H277" i="4"/>
  <c r="H271" i="4"/>
  <c r="H260" i="4"/>
  <c r="H259" i="4" s="1"/>
  <c r="C28" i="6" s="1"/>
  <c r="H252" i="4"/>
  <c r="H251" i="4" s="1"/>
  <c r="H234" i="4"/>
  <c r="H233" i="4" s="1"/>
  <c r="H224" i="4"/>
  <c r="I224" i="4" s="1"/>
  <c r="H207" i="4"/>
  <c r="H202" i="4"/>
  <c r="I202" i="4" s="1"/>
  <c r="H193" i="4"/>
  <c r="H187" i="4"/>
  <c r="H173" i="4"/>
  <c r="H169" i="4"/>
  <c r="H160" i="4"/>
  <c r="I160" i="4" s="1"/>
  <c r="H152" i="4"/>
  <c r="H151" i="4" s="1"/>
  <c r="H134" i="4"/>
  <c r="H129" i="4"/>
  <c r="H128" i="4" s="1"/>
  <c r="I128" i="4" s="1"/>
  <c r="H110" i="4"/>
  <c r="H109" i="4" s="1"/>
  <c r="H101" i="4"/>
  <c r="I101" i="4" s="1"/>
  <c r="H84" i="4"/>
  <c r="I84" i="4" s="1"/>
  <c r="H62" i="4"/>
  <c r="I62" i="4" s="1"/>
  <c r="H58" i="4"/>
  <c r="I58" i="4" s="1"/>
  <c r="H485" i="4"/>
  <c r="I485" i="4" s="1"/>
  <c r="G71" i="4"/>
  <c r="G400" i="4"/>
  <c r="G497" i="4"/>
  <c r="G348" i="4"/>
  <c r="G383" i="4"/>
  <c r="G366" i="4"/>
  <c r="G446" i="4"/>
  <c r="G464" i="4"/>
  <c r="G424" i="4"/>
  <c r="H494" i="4"/>
  <c r="H481" i="4"/>
  <c r="H480" i="4" s="1"/>
  <c r="I480" i="4" s="1"/>
  <c r="H468" i="4"/>
  <c r="H467" i="4" s="1"/>
  <c r="I467" i="4" s="1"/>
  <c r="H456" i="4"/>
  <c r="H442" i="4"/>
  <c r="I442" i="4" s="1"/>
  <c r="H433" i="4"/>
  <c r="H421" i="4"/>
  <c r="H420" i="4" s="1"/>
  <c r="I420" i="4" s="1"/>
  <c r="H409" i="4"/>
  <c r="H395" i="4"/>
  <c r="H394" i="4" s="1"/>
  <c r="I394" i="4" s="1"/>
  <c r="H382" i="4"/>
  <c r="H370" i="4"/>
  <c r="H369" i="4" s="1"/>
  <c r="I369" i="4" s="1"/>
  <c r="H356" i="4"/>
  <c r="H343" i="4"/>
  <c r="H332" i="4"/>
  <c r="I332" i="4" s="1"/>
  <c r="H321" i="4"/>
  <c r="H320" i="4" s="1"/>
  <c r="C15" i="6" s="1"/>
  <c r="H307" i="4"/>
  <c r="H306" i="4" s="1"/>
  <c r="I306" i="4" s="1"/>
  <c r="H298" i="4"/>
  <c r="H291" i="4"/>
  <c r="H282" i="4"/>
  <c r="I282" i="4" s="1"/>
  <c r="H275" i="4"/>
  <c r="H267" i="4"/>
  <c r="H258" i="4"/>
  <c r="H257" i="4" s="1"/>
  <c r="H244" i="4"/>
  <c r="H243" i="4" s="1"/>
  <c r="H231" i="4"/>
  <c r="H230" i="4" s="1"/>
  <c r="H220" i="4"/>
  <c r="H206" i="4"/>
  <c r="H199" i="4"/>
  <c r="H191" i="4"/>
  <c r="H181" i="4"/>
  <c r="H180" i="4" s="1"/>
  <c r="H172" i="4"/>
  <c r="H165" i="4"/>
  <c r="H159" i="4"/>
  <c r="H143" i="4"/>
  <c r="H142" i="4" s="1"/>
  <c r="I142" i="4" s="1"/>
  <c r="H133" i="4"/>
  <c r="H122" i="4"/>
  <c r="H121" i="4" s="1"/>
  <c r="H108" i="4"/>
  <c r="H107" i="4" s="1"/>
  <c r="H96" i="4"/>
  <c r="H95" i="4" s="1"/>
  <c r="H82" i="4"/>
  <c r="H81" i="4" s="1"/>
  <c r="H70" i="4"/>
  <c r="I70" i="4" s="1"/>
  <c r="H61" i="4"/>
  <c r="I61" i="4" s="1"/>
  <c r="H55" i="4"/>
  <c r="I249" i="4"/>
  <c r="H280" i="4"/>
  <c r="I280" i="4" s="1"/>
  <c r="I426" i="4"/>
  <c r="I486" i="4"/>
  <c r="H362" i="4"/>
  <c r="I362" i="4" s="1"/>
  <c r="G473" i="4"/>
  <c r="H414" i="4"/>
  <c r="I414" i="4" s="1"/>
  <c r="I347" i="4"/>
  <c r="JI105" i="1"/>
  <c r="H491" i="4"/>
  <c r="I491" i="4" s="1"/>
  <c r="H479" i="4"/>
  <c r="I479" i="4" s="1"/>
  <c r="H466" i="4"/>
  <c r="H465" i="4" s="1"/>
  <c r="H454" i="4"/>
  <c r="H453" i="4" s="1"/>
  <c r="I453" i="4" s="1"/>
  <c r="H441" i="4"/>
  <c r="I441" i="4" s="1"/>
  <c r="H431" i="4"/>
  <c r="I431" i="4" s="1"/>
  <c r="H419" i="4"/>
  <c r="I419" i="4" s="1"/>
  <c r="H407" i="4"/>
  <c r="H406" i="4" s="1"/>
  <c r="I406" i="4" s="1"/>
  <c r="H393" i="4"/>
  <c r="H392" i="4" s="1"/>
  <c r="I392" i="4" s="1"/>
  <c r="H380" i="4"/>
  <c r="I380" i="4" s="1"/>
  <c r="H368" i="4"/>
  <c r="I368" i="4" s="1"/>
  <c r="H354" i="4"/>
  <c r="H353" i="4" s="1"/>
  <c r="I353" i="4" s="1"/>
  <c r="H341" i="4"/>
  <c r="H340" i="4" s="1"/>
  <c r="I340" i="4" s="1"/>
  <c r="H331" i="4"/>
  <c r="I331" i="4" s="1"/>
  <c r="H319" i="4"/>
  <c r="H318" i="4" s="1"/>
  <c r="H305" i="4"/>
  <c r="I305" i="4" s="1"/>
  <c r="H297" i="4"/>
  <c r="H290" i="4"/>
  <c r="I290" i="4" s="1"/>
  <c r="H281" i="4"/>
  <c r="I281" i="4" s="1"/>
  <c r="H274" i="4"/>
  <c r="H266" i="4"/>
  <c r="H256" i="4"/>
  <c r="H255" i="4" s="1"/>
  <c r="H242" i="4"/>
  <c r="H241" i="4" s="1"/>
  <c r="H229" i="4"/>
  <c r="H228" i="4" s="1"/>
  <c r="H218" i="4"/>
  <c r="H217" i="4" s="1"/>
  <c r="I217" i="4" s="1"/>
  <c r="H205" i="4"/>
  <c r="H198" i="4"/>
  <c r="H190" i="4"/>
  <c r="H178" i="4"/>
  <c r="H171" i="4"/>
  <c r="H164" i="4"/>
  <c r="H156" i="4"/>
  <c r="H155" i="4" s="1"/>
  <c r="I155" i="4" s="1"/>
  <c r="H141" i="4"/>
  <c r="H140" i="4" s="1"/>
  <c r="I140" i="4" s="1"/>
  <c r="H132" i="4"/>
  <c r="H120" i="4"/>
  <c r="H119" i="4" s="1"/>
  <c r="H105" i="4"/>
  <c r="H104" i="4" s="1"/>
  <c r="H94" i="4"/>
  <c r="H80" i="4"/>
  <c r="H79" i="4" s="1"/>
  <c r="H69" i="4"/>
  <c r="H60" i="4"/>
  <c r="I60" i="4" s="1"/>
  <c r="H53" i="4"/>
  <c r="H489" i="4"/>
  <c r="H477" i="4"/>
  <c r="H462" i="4"/>
  <c r="H461" i="4" s="1"/>
  <c r="I461" i="4" s="1"/>
  <c r="H451" i="4"/>
  <c r="H450" i="4" s="1"/>
  <c r="H430" i="4"/>
  <c r="I430" i="4" s="1"/>
  <c r="H417" i="4"/>
  <c r="H416" i="4" s="1"/>
  <c r="I416" i="4" s="1"/>
  <c r="H404" i="4"/>
  <c r="H391" i="4"/>
  <c r="I391" i="4" s="1"/>
  <c r="H378" i="4"/>
  <c r="H365" i="4"/>
  <c r="I365" i="4" s="1"/>
  <c r="H352" i="4"/>
  <c r="H339" i="4"/>
  <c r="I339" i="4" s="1"/>
  <c r="H328" i="4"/>
  <c r="H327" i="4" s="1"/>
  <c r="H317" i="4"/>
  <c r="H302" i="4"/>
  <c r="C10" i="6" s="1"/>
  <c r="H296" i="4"/>
  <c r="H289" i="4"/>
  <c r="H273" i="4"/>
  <c r="H265" i="4"/>
  <c r="H254" i="4"/>
  <c r="H253" i="4" s="1"/>
  <c r="H240" i="4"/>
  <c r="H239" i="4" s="1"/>
  <c r="H227" i="4"/>
  <c r="H226" i="4" s="1"/>
  <c r="H216" i="4"/>
  <c r="I216" i="4" s="1"/>
  <c r="H203" i="4"/>
  <c r="H196" i="4"/>
  <c r="I196" i="4" s="1"/>
  <c r="H189" i="4"/>
  <c r="H176" i="4"/>
  <c r="H170" i="4"/>
  <c r="I170" i="4" s="1"/>
  <c r="H163" i="4"/>
  <c r="I163" i="4" s="1"/>
  <c r="H154" i="4"/>
  <c r="H153" i="4" s="1"/>
  <c r="H139" i="4"/>
  <c r="H131" i="4"/>
  <c r="H118" i="4"/>
  <c r="H117" i="4" s="1"/>
  <c r="H103" i="4"/>
  <c r="H102" i="4" s="1"/>
  <c r="H77" i="4"/>
  <c r="I77" i="4" s="1"/>
  <c r="H67" i="4"/>
  <c r="H59" i="4"/>
  <c r="I59" i="4" s="1"/>
  <c r="H50" i="4"/>
  <c r="I50" i="4" s="1"/>
  <c r="H284" i="4"/>
  <c r="I284" i="4" s="1"/>
  <c r="I76" i="4"/>
  <c r="I57" i="4"/>
  <c r="I300" i="4"/>
  <c r="G182" i="4"/>
  <c r="B24" i="6" s="1"/>
  <c r="G107" i="4"/>
  <c r="I389" i="4"/>
  <c r="H388" i="4"/>
  <c r="I388" i="4" s="1"/>
  <c r="I399" i="4"/>
  <c r="H398" i="4"/>
  <c r="I398" i="4" s="1"/>
  <c r="H372" i="4"/>
  <c r="H374" i="4"/>
  <c r="I439" i="4"/>
  <c r="I487" i="4"/>
  <c r="H73" i="4"/>
  <c r="H500" i="4"/>
  <c r="I500" i="4" s="1"/>
  <c r="I425" i="4"/>
  <c r="I438" i="4"/>
  <c r="G337" i="4"/>
  <c r="G405" i="4"/>
  <c r="G357" i="4"/>
  <c r="G492" i="4"/>
  <c r="M18" i="4"/>
  <c r="I346" i="4"/>
  <c r="I248" i="4"/>
  <c r="G51" i="4"/>
  <c r="G78" i="4"/>
  <c r="G64" i="4"/>
  <c r="I472" i="4" l="1"/>
  <c r="G26" i="4"/>
  <c r="B18" i="6" s="1"/>
  <c r="I49" i="4"/>
  <c r="H46" i="4"/>
  <c r="H498" i="4"/>
  <c r="I498" i="4" s="1"/>
  <c r="C31" i="6"/>
  <c r="C30" i="6"/>
  <c r="C25" i="6"/>
  <c r="I173" i="4"/>
  <c r="I445" i="4"/>
  <c r="H295" i="4"/>
  <c r="I175" i="4"/>
  <c r="H225" i="4"/>
  <c r="I187" i="4"/>
  <c r="I269" i="4"/>
  <c r="I267" i="4"/>
  <c r="I194" i="4"/>
  <c r="G312" i="4"/>
  <c r="I312" i="4" s="1"/>
  <c r="I291" i="4"/>
  <c r="I279" i="4"/>
  <c r="H167" i="4"/>
  <c r="C9" i="6"/>
  <c r="I53" i="4"/>
  <c r="H52" i="4"/>
  <c r="I52" i="4" s="1"/>
  <c r="H177" i="4"/>
  <c r="I177" i="4" s="1"/>
  <c r="H158" i="4"/>
  <c r="H192" i="4"/>
  <c r="I384" i="4"/>
  <c r="H116" i="4"/>
  <c r="C22" i="6" s="1"/>
  <c r="I474" i="4"/>
  <c r="H182" i="4"/>
  <c r="C24" i="6" s="1"/>
  <c r="H130" i="4"/>
  <c r="H188" i="4"/>
  <c r="H197" i="4"/>
  <c r="H106" i="4"/>
  <c r="H276" i="4"/>
  <c r="H111" i="4"/>
  <c r="C21" i="6" s="1"/>
  <c r="I79" i="4"/>
  <c r="I55" i="4"/>
  <c r="H54" i="4"/>
  <c r="I54" i="4" s="1"/>
  <c r="H287" i="4"/>
  <c r="H65" i="4"/>
  <c r="H232" i="4"/>
  <c r="C27" i="6" s="1"/>
  <c r="H250" i="4"/>
  <c r="I264" i="4"/>
  <c r="I448" i="4"/>
  <c r="H447" i="4"/>
  <c r="I447" i="4" s="1"/>
  <c r="I198" i="4"/>
  <c r="I113" i="4"/>
  <c r="G89" i="4"/>
  <c r="H83" i="4"/>
  <c r="I83" i="4" s="1"/>
  <c r="I323" i="4"/>
  <c r="G99" i="4"/>
  <c r="I115" i="4"/>
  <c r="I133" i="4"/>
  <c r="G192" i="4"/>
  <c r="I228" i="4"/>
  <c r="I235" i="4"/>
  <c r="G184" i="4"/>
  <c r="I258" i="4"/>
  <c r="I203" i="4"/>
  <c r="I207" i="4"/>
  <c r="I201" i="4"/>
  <c r="I242" i="4"/>
  <c r="G91" i="4"/>
  <c r="G320" i="4"/>
  <c r="I190" i="4"/>
  <c r="I275" i="4"/>
  <c r="I301" i="4"/>
  <c r="I199" i="4"/>
  <c r="G151" i="4"/>
  <c r="G148" i="4" s="1"/>
  <c r="I221" i="4"/>
  <c r="I238" i="4"/>
  <c r="G314" i="4"/>
  <c r="I314" i="4" s="1"/>
  <c r="G167" i="4"/>
  <c r="I171" i="4"/>
  <c r="I159" i="4"/>
  <c r="G219" i="4"/>
  <c r="G213" i="4" s="1"/>
  <c r="G119" i="4"/>
  <c r="I119" i="4" s="1"/>
  <c r="I236" i="4"/>
  <c r="G246" i="4"/>
  <c r="G245" i="4" s="1"/>
  <c r="I288" i="4"/>
  <c r="G104" i="4"/>
  <c r="I104" i="4" s="1"/>
  <c r="G180" i="4"/>
  <c r="I180" i="4" s="1"/>
  <c r="I265" i="4"/>
  <c r="G253" i="4"/>
  <c r="I253" i="4" s="1"/>
  <c r="I273" i="4"/>
  <c r="G188" i="4"/>
  <c r="I191" i="4"/>
  <c r="G230" i="4"/>
  <c r="I230" i="4" s="1"/>
  <c r="G95" i="4"/>
  <c r="I95" i="4" s="1"/>
  <c r="H144" i="4"/>
  <c r="I205" i="4"/>
  <c r="I428" i="4"/>
  <c r="I166" i="4"/>
  <c r="I326" i="4"/>
  <c r="H223" i="4"/>
  <c r="I223" i="4" s="1"/>
  <c r="H422" i="4"/>
  <c r="I422" i="4" s="1"/>
  <c r="H412" i="4"/>
  <c r="I412" i="4" s="1"/>
  <c r="I277" i="4"/>
  <c r="I150" i="4"/>
  <c r="G126" i="4"/>
  <c r="G97" i="4"/>
  <c r="I97" i="4" s="1"/>
  <c r="I124" i="4"/>
  <c r="G262" i="4"/>
  <c r="I385" i="4"/>
  <c r="I129" i="4"/>
  <c r="I296" i="4"/>
  <c r="C11" i="6"/>
  <c r="H268" i="4"/>
  <c r="G109" i="4"/>
  <c r="I174" i="4"/>
  <c r="I297" i="4"/>
  <c r="G251" i="4"/>
  <c r="I251" i="4" s="1"/>
  <c r="G233" i="4"/>
  <c r="I233" i="4" s="1"/>
  <c r="I260" i="4"/>
  <c r="G324" i="4"/>
  <c r="I324" i="4" s="1"/>
  <c r="I393" i="4"/>
  <c r="I397" i="4"/>
  <c r="I475" i="4"/>
  <c r="H482" i="4"/>
  <c r="I482" i="4" s="1"/>
  <c r="I293" i="4"/>
  <c r="I176" i="4"/>
  <c r="H495" i="4"/>
  <c r="I495" i="4" s="1"/>
  <c r="I215" i="4"/>
  <c r="I131" i="4"/>
  <c r="I165" i="4"/>
  <c r="H219" i="4"/>
  <c r="H344" i="4"/>
  <c r="I344" i="4" s="1"/>
  <c r="I283" i="4"/>
  <c r="I292" i="4"/>
  <c r="I164" i="4"/>
  <c r="I263" i="4"/>
  <c r="I135" i="4"/>
  <c r="G276" i="4"/>
  <c r="G268" i="4"/>
  <c r="G130" i="4"/>
  <c r="H457" i="4"/>
  <c r="I457" i="4" s="1"/>
  <c r="G144" i="4"/>
  <c r="I189" i="4"/>
  <c r="I132" i="4"/>
  <c r="H434" i="4"/>
  <c r="I434" i="4" s="1"/>
  <c r="G136" i="4"/>
  <c r="I136" i="4" s="1"/>
  <c r="G117" i="4"/>
  <c r="I117" i="4" s="1"/>
  <c r="G309" i="4"/>
  <c r="B32" i="6" s="1"/>
  <c r="I172" i="4"/>
  <c r="H375" i="4"/>
  <c r="I375" i="4" s="1"/>
  <c r="H401" i="4"/>
  <c r="I401" i="4" s="1"/>
  <c r="I325" i="4"/>
  <c r="H469" i="4"/>
  <c r="I469" i="4" s="1"/>
  <c r="I271" i="4"/>
  <c r="I86" i="4"/>
  <c r="H484" i="4"/>
  <c r="I484" i="4" s="1"/>
  <c r="H349" i="4"/>
  <c r="I349" i="4" s="1"/>
  <c r="I454" i="4"/>
  <c r="I421" i="4"/>
  <c r="I411" i="4"/>
  <c r="H436" i="4"/>
  <c r="I436" i="4" s="1"/>
  <c r="I370" i="4"/>
  <c r="H99" i="4"/>
  <c r="C20" i="6" s="1"/>
  <c r="I341" i="4"/>
  <c r="I361" i="4"/>
  <c r="I387" i="4"/>
  <c r="H186" i="4"/>
  <c r="I186" i="4" s="1"/>
  <c r="H358" i="4"/>
  <c r="I358" i="4" s="1"/>
  <c r="I243" i="4"/>
  <c r="I468" i="4"/>
  <c r="I244" i="4"/>
  <c r="I298" i="4"/>
  <c r="I354" i="4"/>
  <c r="I107" i="4"/>
  <c r="I417" i="4"/>
  <c r="I462" i="4"/>
  <c r="I143" i="4"/>
  <c r="I395" i="4"/>
  <c r="G463" i="4"/>
  <c r="H262" i="4"/>
  <c r="I178" i="4"/>
  <c r="I220" i="4"/>
  <c r="H68" i="4"/>
  <c r="I68" i="4" s="1"/>
  <c r="H338" i="4"/>
  <c r="I481" i="4"/>
  <c r="I81" i="4"/>
  <c r="I206" i="4"/>
  <c r="I382" i="4"/>
  <c r="H381" i="4"/>
  <c r="I381" i="4" s="1"/>
  <c r="I456" i="4"/>
  <c r="H455" i="4"/>
  <c r="I455" i="4" s="1"/>
  <c r="H497" i="4"/>
  <c r="I497" i="4" s="1"/>
  <c r="I307" i="4"/>
  <c r="H429" i="4"/>
  <c r="I429" i="4" s="1"/>
  <c r="I266" i="4"/>
  <c r="I82" i="4"/>
  <c r="H408" i="4"/>
  <c r="I408" i="4" s="1"/>
  <c r="I409" i="4"/>
  <c r="I141" i="4"/>
  <c r="I343" i="4"/>
  <c r="H342" i="4"/>
  <c r="I342" i="4" s="1"/>
  <c r="I494" i="4"/>
  <c r="H493" i="4"/>
  <c r="H214" i="4"/>
  <c r="I466" i="4"/>
  <c r="I69" i="4"/>
  <c r="H490" i="4"/>
  <c r="I490" i="4" s="1"/>
  <c r="I356" i="4"/>
  <c r="H355" i="4"/>
  <c r="I355" i="4" s="1"/>
  <c r="I433" i="4"/>
  <c r="H432" i="4"/>
  <c r="I432" i="4" s="1"/>
  <c r="G93" i="4"/>
  <c r="G239" i="4"/>
  <c r="I239" i="4" s="1"/>
  <c r="I183" i="4"/>
  <c r="I256" i="4"/>
  <c r="I193" i="4"/>
  <c r="I102" i="4"/>
  <c r="H367" i="4"/>
  <c r="I156" i="4"/>
  <c r="H204" i="4"/>
  <c r="I80" i="4"/>
  <c r="D30" i="6"/>
  <c r="I229" i="4"/>
  <c r="I407" i="4"/>
  <c r="H478" i="4"/>
  <c r="I478" i="4" s="1"/>
  <c r="I103" i="4"/>
  <c r="H93" i="4"/>
  <c r="C19" i="6" s="1"/>
  <c r="H390" i="4"/>
  <c r="I390" i="4" s="1"/>
  <c r="H364" i="4"/>
  <c r="I134" i="4"/>
  <c r="H418" i="4"/>
  <c r="H330" i="4"/>
  <c r="I218" i="4"/>
  <c r="H440" i="4"/>
  <c r="I440" i="4" s="1"/>
  <c r="I274" i="4"/>
  <c r="I153" i="4"/>
  <c r="H148" i="4"/>
  <c r="I465" i="4"/>
  <c r="H488" i="4"/>
  <c r="I488" i="4" s="1"/>
  <c r="I489" i="4"/>
  <c r="I154" i="4"/>
  <c r="H351" i="4"/>
  <c r="I351" i="4" s="1"/>
  <c r="I352" i="4"/>
  <c r="I67" i="4"/>
  <c r="H304" i="4"/>
  <c r="H272" i="4"/>
  <c r="H379" i="4"/>
  <c r="I379" i="4" s="1"/>
  <c r="H377" i="4"/>
  <c r="I377" i="4" s="1"/>
  <c r="I378" i="4"/>
  <c r="I450" i="4"/>
  <c r="I451" i="4"/>
  <c r="I317" i="4"/>
  <c r="H316" i="4"/>
  <c r="H308" i="4" s="1"/>
  <c r="I139" i="4"/>
  <c r="H138" i="4"/>
  <c r="I138" i="4" s="1"/>
  <c r="H403" i="4"/>
  <c r="I403" i="4" s="1"/>
  <c r="I404" i="4"/>
  <c r="H476" i="4"/>
  <c r="I476" i="4" s="1"/>
  <c r="I477" i="4"/>
  <c r="I108" i="4"/>
  <c r="G204" i="4"/>
  <c r="I289" i="4"/>
  <c r="G121" i="4"/>
  <c r="G272" i="4"/>
  <c r="G112" i="4"/>
  <c r="H74" i="4"/>
  <c r="I74" i="4" s="1"/>
  <c r="I73" i="4"/>
  <c r="H72" i="4"/>
  <c r="H373" i="4"/>
  <c r="I373" i="4" s="1"/>
  <c r="I374" i="4"/>
  <c r="I372" i="4"/>
  <c r="H371" i="4"/>
  <c r="G336" i="4"/>
  <c r="B36" i="6" s="1"/>
  <c r="I46" i="4" l="1"/>
  <c r="H27" i="4"/>
  <c r="C26" i="6"/>
  <c r="C12" i="6"/>
  <c r="B20" i="6"/>
  <c r="I89" i="4"/>
  <c r="I320" i="4"/>
  <c r="B15" i="6"/>
  <c r="D15" i="6" s="1"/>
  <c r="I109" i="4"/>
  <c r="B25" i="6"/>
  <c r="I91" i="4"/>
  <c r="B19" i="6"/>
  <c r="D19" i="6" s="1"/>
  <c r="I245" i="4"/>
  <c r="B9" i="6"/>
  <c r="D9" i="6" s="1"/>
  <c r="M20" i="4"/>
  <c r="B37" i="6"/>
  <c r="B38" i="6" s="1"/>
  <c r="D20" i="6"/>
  <c r="H213" i="4"/>
  <c r="I90" i="4"/>
  <c r="I313" i="4"/>
  <c r="H78" i="4"/>
  <c r="I78" i="4" s="1"/>
  <c r="I100" i="4"/>
  <c r="H383" i="4"/>
  <c r="I383" i="4" s="1"/>
  <c r="I144" i="4"/>
  <c r="H179" i="4"/>
  <c r="H64" i="4"/>
  <c r="I64" i="4" s="1"/>
  <c r="H71" i="4"/>
  <c r="I367" i="4"/>
  <c r="H366" i="4"/>
  <c r="I182" i="4"/>
  <c r="H157" i="4"/>
  <c r="I65" i="4"/>
  <c r="H261" i="4"/>
  <c r="D24" i="6"/>
  <c r="H51" i="4"/>
  <c r="I51" i="4" s="1"/>
  <c r="I338" i="4"/>
  <c r="H337" i="4"/>
  <c r="I337" i="4" s="1"/>
  <c r="I214" i="4"/>
  <c r="H88" i="4"/>
  <c r="H473" i="4"/>
  <c r="I473" i="4" s="1"/>
  <c r="I99" i="4"/>
  <c r="H446" i="4"/>
  <c r="I446" i="4" s="1"/>
  <c r="G125" i="4"/>
  <c r="B23" i="6" s="1"/>
  <c r="G327" i="4"/>
  <c r="I327" i="4" s="1"/>
  <c r="H125" i="4"/>
  <c r="C23" i="6" s="1"/>
  <c r="I192" i="4"/>
  <c r="I151" i="4"/>
  <c r="G257" i="4"/>
  <c r="I257" i="4" s="1"/>
  <c r="G241" i="4"/>
  <c r="I241" i="4" s="1"/>
  <c r="G237" i="4"/>
  <c r="I237" i="4" s="1"/>
  <c r="I309" i="4"/>
  <c r="I92" i="4"/>
  <c r="D32" i="6"/>
  <c r="I185" i="4"/>
  <c r="I321" i="4"/>
  <c r="D31" i="6"/>
  <c r="I169" i="4"/>
  <c r="G197" i="4"/>
  <c r="I197" i="4" s="1"/>
  <c r="I152" i="4"/>
  <c r="I148" i="4"/>
  <c r="G158" i="4"/>
  <c r="G157" i="4" s="1"/>
  <c r="I246" i="4"/>
  <c r="I315" i="4"/>
  <c r="D29" i="6"/>
  <c r="I96" i="4"/>
  <c r="I181" i="4"/>
  <c r="I254" i="4"/>
  <c r="I120" i="4"/>
  <c r="I247" i="4"/>
  <c r="G259" i="4"/>
  <c r="I219" i="4"/>
  <c r="I145" i="4"/>
  <c r="I328" i="4"/>
  <c r="I126" i="4"/>
  <c r="I105" i="4"/>
  <c r="I188" i="4"/>
  <c r="I231" i="4"/>
  <c r="I262" i="4"/>
  <c r="G123" i="4"/>
  <c r="I123" i="4" s="1"/>
  <c r="I98" i="4"/>
  <c r="G261" i="4"/>
  <c r="I252" i="4"/>
  <c r="G106" i="4"/>
  <c r="I106" i="4" s="1"/>
  <c r="I234" i="4"/>
  <c r="I127" i="4"/>
  <c r="I110" i="4"/>
  <c r="H464" i="4"/>
  <c r="I464" i="4" s="1"/>
  <c r="I268" i="4"/>
  <c r="I310" i="4"/>
  <c r="D10" i="6"/>
  <c r="I118" i="4"/>
  <c r="I276" i="4"/>
  <c r="I137" i="4"/>
  <c r="H357" i="4"/>
  <c r="G209" i="4"/>
  <c r="I210" i="4"/>
  <c r="H286" i="4"/>
  <c r="I167" i="4"/>
  <c r="H405" i="4"/>
  <c r="I405" i="4" s="1"/>
  <c r="I93" i="4"/>
  <c r="I493" i="4"/>
  <c r="H492" i="4"/>
  <c r="I492" i="4" s="1"/>
  <c r="H348" i="4"/>
  <c r="I348" i="4" s="1"/>
  <c r="I240" i="4"/>
  <c r="G226" i="4"/>
  <c r="I227" i="4"/>
  <c r="I94" i="4"/>
  <c r="G88" i="4"/>
  <c r="G255" i="4"/>
  <c r="I255" i="4" s="1"/>
  <c r="I272" i="4"/>
  <c r="I121" i="4"/>
  <c r="I364" i="4"/>
  <c r="I418" i="4"/>
  <c r="G287" i="4"/>
  <c r="I287" i="4" s="1"/>
  <c r="I204" i="4"/>
  <c r="H424" i="4"/>
  <c r="I424" i="4" s="1"/>
  <c r="I130" i="4"/>
  <c r="N18" i="4"/>
  <c r="I330" i="4"/>
  <c r="I304" i="4"/>
  <c r="H303" i="4"/>
  <c r="I303" i="4" s="1"/>
  <c r="I316" i="4"/>
  <c r="H400" i="4"/>
  <c r="I400" i="4" s="1"/>
  <c r="I122" i="4"/>
  <c r="I112" i="4"/>
  <c r="G111" i="4"/>
  <c r="I184" i="4"/>
  <c r="I72" i="4"/>
  <c r="I371" i="4"/>
  <c r="I319" i="4"/>
  <c r="G318" i="4"/>
  <c r="M15" i="4"/>
  <c r="M19" i="4"/>
  <c r="H26" i="4" l="1"/>
  <c r="I27" i="4"/>
  <c r="B14" i="6"/>
  <c r="C33" i="6"/>
  <c r="I111" i="4"/>
  <c r="B21" i="6"/>
  <c r="D21" i="6" s="1"/>
  <c r="I259" i="4"/>
  <c r="B28" i="6"/>
  <c r="D28" i="6" s="1"/>
  <c r="C14" i="6"/>
  <c r="I125" i="4"/>
  <c r="G232" i="4"/>
  <c r="G179" i="4"/>
  <c r="I179" i="4" s="1"/>
  <c r="I158" i="4"/>
  <c r="I261" i="4"/>
  <c r="G116" i="4"/>
  <c r="D23" i="6"/>
  <c r="I157" i="4"/>
  <c r="I357" i="4"/>
  <c r="G208" i="4"/>
  <c r="I209" i="4"/>
  <c r="H463" i="4"/>
  <c r="I213" i="4"/>
  <c r="D25" i="6"/>
  <c r="G225" i="4"/>
  <c r="I225" i="4" s="1"/>
  <c r="I226" i="4"/>
  <c r="G250" i="4"/>
  <c r="I250" i="4" s="1"/>
  <c r="H87" i="4"/>
  <c r="N16" i="4" s="1"/>
  <c r="I88" i="4"/>
  <c r="H212" i="4"/>
  <c r="N17" i="4" s="1"/>
  <c r="I302" i="4"/>
  <c r="G295" i="4"/>
  <c r="D11" i="6"/>
  <c r="B12" i="6"/>
  <c r="H336" i="4"/>
  <c r="C36" i="6" s="1"/>
  <c r="I366" i="4"/>
  <c r="I71" i="4"/>
  <c r="I318" i="4"/>
  <c r="G308" i="4"/>
  <c r="H25" i="4" l="1"/>
  <c r="I26" i="4"/>
  <c r="B33" i="6"/>
  <c r="D33" i="6" s="1"/>
  <c r="I232" i="4"/>
  <c r="B27" i="6"/>
  <c r="D27" i="6" s="1"/>
  <c r="I116" i="4"/>
  <c r="B22" i="6"/>
  <c r="I208" i="4"/>
  <c r="B26" i="6"/>
  <c r="D26" i="6" s="1"/>
  <c r="D36" i="6"/>
  <c r="N20" i="4"/>
  <c r="C37" i="6"/>
  <c r="D37" i="6" s="1"/>
  <c r="D14" i="6"/>
  <c r="D16" i="6" s="1"/>
  <c r="E15" i="6" s="1"/>
  <c r="B16" i="6"/>
  <c r="G87" i="4"/>
  <c r="I463" i="4"/>
  <c r="C16" i="6"/>
  <c r="I295" i="4"/>
  <c r="G286" i="4"/>
  <c r="I286" i="4" s="1"/>
  <c r="D12" i="6"/>
  <c r="E9" i="6" s="1"/>
  <c r="C18" i="6"/>
  <c r="C34" i="6" s="1"/>
  <c r="N15" i="4"/>
  <c r="N19" i="4"/>
  <c r="I336" i="4"/>
  <c r="I308" i="4"/>
  <c r="M16" i="4" l="1"/>
  <c r="C38" i="6"/>
  <c r="C39" i="6" s="1"/>
  <c r="D22" i="6"/>
  <c r="B34" i="6"/>
  <c r="B39" i="6" s="1"/>
  <c r="D38" i="6"/>
  <c r="E14" i="6"/>
  <c r="I87" i="4"/>
  <c r="E10" i="6"/>
  <c r="G212" i="4"/>
  <c r="M17" i="4" s="1"/>
  <c r="E11" i="6"/>
  <c r="D18" i="6"/>
  <c r="D34" i="6" s="1"/>
  <c r="G25" i="4" l="1"/>
  <c r="I25" i="4" s="1"/>
  <c r="E33" i="6"/>
  <c r="D39" i="6"/>
  <c r="E26" i="6"/>
  <c r="E22" i="6"/>
  <c r="E30" i="6"/>
  <c r="E29" i="6"/>
  <c r="E27" i="6"/>
  <c r="E21" i="6"/>
  <c r="E24" i="6"/>
  <c r="E23" i="6"/>
  <c r="E32" i="6"/>
  <c r="E28" i="6"/>
  <c r="E31" i="6"/>
  <c r="E25" i="6"/>
  <c r="E19" i="6"/>
  <c r="E18" i="6"/>
  <c r="E20" i="6"/>
  <c r="I212" i="4"/>
  <c r="J26" i="4" l="1"/>
  <c r="J30" i="4"/>
  <c r="J28" i="4"/>
  <c r="J27" i="4"/>
  <c r="E36" i="6"/>
  <c r="E37" i="6"/>
  <c r="J449" i="4"/>
  <c r="J452" i="4"/>
  <c r="J311" i="4"/>
  <c r="J329" i="4"/>
  <c r="J211" i="4"/>
  <c r="J147" i="4"/>
  <c r="J40" i="4"/>
  <c r="J445" i="4"/>
  <c r="J41" i="4"/>
  <c r="J221" i="4"/>
  <c r="J459" i="4"/>
  <c r="J133" i="4"/>
  <c r="J265" i="4"/>
  <c r="J395" i="4"/>
  <c r="J238" i="4"/>
  <c r="J448" i="4"/>
  <c r="J150" i="4"/>
  <c r="J172" i="4"/>
  <c r="J341" i="4"/>
  <c r="J141" i="4"/>
  <c r="J431" i="4"/>
  <c r="J256" i="4"/>
  <c r="J385" i="4"/>
  <c r="J400" i="4"/>
  <c r="J174" i="4"/>
  <c r="J168" i="4"/>
  <c r="J275" i="4"/>
  <c r="J231" i="4"/>
  <c r="J31" i="4"/>
  <c r="J100" i="4"/>
  <c r="J294" i="4"/>
  <c r="J242" i="4"/>
  <c r="J115" i="4"/>
  <c r="J451" i="4"/>
  <c r="J43" i="4"/>
  <c r="J160" i="4"/>
  <c r="J59" i="4"/>
  <c r="J343" i="4"/>
  <c r="J249" i="4"/>
  <c r="J96" i="4"/>
  <c r="J118" i="4"/>
  <c r="J441" i="4"/>
  <c r="J426" i="4"/>
  <c r="J48" i="4"/>
  <c r="J374" i="4"/>
  <c r="J274" i="4"/>
  <c r="J67" i="4"/>
  <c r="J491" i="4"/>
  <c r="J86" i="4"/>
  <c r="J220" i="4"/>
  <c r="J162" i="4"/>
  <c r="J137" i="4"/>
  <c r="J56" i="4"/>
  <c r="J331" i="4"/>
  <c r="J485" i="4"/>
  <c r="J77" i="4"/>
  <c r="J185" i="4"/>
  <c r="J288" i="4"/>
  <c r="J413" i="4"/>
  <c r="J376" i="4"/>
  <c r="J315" i="4"/>
  <c r="J207" i="4"/>
  <c r="J156" i="4"/>
  <c r="J336" i="4"/>
  <c r="J393" i="4"/>
  <c r="J200" i="4"/>
  <c r="J193" i="4"/>
  <c r="J494" i="4"/>
  <c r="J382" i="4"/>
  <c r="J298" i="4"/>
  <c r="J411" i="4"/>
  <c r="J187" i="4"/>
  <c r="J173" i="4"/>
  <c r="J84" i="4"/>
  <c r="J266" i="4"/>
  <c r="J496" i="4"/>
  <c r="J407" i="4"/>
  <c r="J454" i="4"/>
  <c r="J122" i="4"/>
  <c r="J240" i="4"/>
  <c r="J397" i="4"/>
  <c r="J421" i="4"/>
  <c r="J260" i="4"/>
  <c r="J161" i="4"/>
  <c r="J387" i="4"/>
  <c r="J29" i="4"/>
  <c r="J310" i="4"/>
  <c r="J439" i="4"/>
  <c r="J181" i="4"/>
  <c r="J124" i="4"/>
  <c r="J218" i="4"/>
  <c r="J433" i="4"/>
  <c r="J479" i="4"/>
  <c r="J34" i="4"/>
  <c r="J350" i="4"/>
  <c r="J58" i="4"/>
  <c r="J273" i="4"/>
  <c r="J73" i="4"/>
  <c r="J399" i="4"/>
  <c r="J176" i="4"/>
  <c r="J466" i="4"/>
  <c r="J321" i="4"/>
  <c r="J169" i="4"/>
  <c r="J335" i="4"/>
  <c r="J90" i="4"/>
  <c r="J307" i="4"/>
  <c r="J224" i="4"/>
  <c r="J212" i="4"/>
  <c r="J278" i="4"/>
  <c r="J202" i="4"/>
  <c r="J489" i="4"/>
  <c r="J263" i="4"/>
  <c r="J332" i="4"/>
  <c r="J199" i="4"/>
  <c r="J201" i="4"/>
  <c r="J183" i="4"/>
  <c r="J98" i="4"/>
  <c r="J468" i="4"/>
  <c r="J110" i="4"/>
  <c r="J189" i="4"/>
  <c r="J252" i="4"/>
  <c r="J391" i="4"/>
  <c r="J222" i="4"/>
  <c r="J361" i="4"/>
  <c r="J325" i="4"/>
  <c r="J76" i="4"/>
  <c r="J32" i="4"/>
  <c r="J456" i="4"/>
  <c r="J269" i="4"/>
  <c r="J258" i="4"/>
  <c r="J216" i="4"/>
  <c r="J129" i="4"/>
  <c r="J254" i="4"/>
  <c r="J428" i="4"/>
  <c r="J302" i="4"/>
  <c r="J460" i="4"/>
  <c r="J92" i="4"/>
  <c r="J244" i="4"/>
  <c r="J50" i="4"/>
  <c r="J205" i="4"/>
  <c r="J290" i="4"/>
  <c r="J305" i="4"/>
  <c r="J280" i="4"/>
  <c r="J49" i="4"/>
  <c r="J247" i="4"/>
  <c r="J75" i="4"/>
  <c r="J236" i="4"/>
  <c r="J94" i="4"/>
  <c r="J299" i="4"/>
  <c r="J47" i="4"/>
  <c r="J108" i="4"/>
  <c r="J296" i="4"/>
  <c r="J330" i="4"/>
  <c r="J359" i="4"/>
  <c r="J402" i="4"/>
  <c r="J55" i="4"/>
  <c r="J409" i="4"/>
  <c r="J170" i="4"/>
  <c r="J164" i="4"/>
  <c r="J33" i="4"/>
  <c r="J191" i="4"/>
  <c r="J194" i="4"/>
  <c r="J437" i="4"/>
  <c r="J198" i="4"/>
  <c r="J458" i="4"/>
  <c r="J152" i="4"/>
  <c r="J134" i="4"/>
  <c r="J61" i="4"/>
  <c r="J69" i="4"/>
  <c r="J368" i="4"/>
  <c r="J463" i="4"/>
  <c r="J57" i="4"/>
  <c r="J82" i="4"/>
  <c r="J70" i="4"/>
  <c r="J264" i="4"/>
  <c r="J483" i="4"/>
  <c r="J354" i="4"/>
  <c r="J175" i="4"/>
  <c r="J38" i="4"/>
  <c r="J80" i="4"/>
  <c r="J487" i="4"/>
  <c r="J267" i="4"/>
  <c r="J443" i="4"/>
  <c r="J63" i="4"/>
  <c r="J334" i="4"/>
  <c r="J292" i="4"/>
  <c r="J339" i="4"/>
  <c r="J347" i="4"/>
  <c r="J60" i="4"/>
  <c r="J363" i="4"/>
  <c r="J380" i="4"/>
  <c r="J285" i="4"/>
  <c r="J165" i="4"/>
  <c r="J301" i="4"/>
  <c r="J430" i="4"/>
  <c r="J300" i="4"/>
  <c r="J289" i="4"/>
  <c r="J135" i="4"/>
  <c r="J62" i="4"/>
  <c r="J101" i="4"/>
  <c r="J139" i="4"/>
  <c r="J326" i="4"/>
  <c r="J282" i="4"/>
  <c r="J36" i="4"/>
  <c r="J66" i="4"/>
  <c r="J352" i="4"/>
  <c r="J234" i="4"/>
  <c r="J365" i="4"/>
  <c r="J378" i="4"/>
  <c r="J404" i="4"/>
  <c r="J370" i="4"/>
  <c r="J328" i="4"/>
  <c r="J499" i="4"/>
  <c r="J281" i="4"/>
  <c r="J103" i="4"/>
  <c r="J190" i="4"/>
  <c r="J227" i="4"/>
  <c r="J313" i="4"/>
  <c r="J127" i="4"/>
  <c r="J215" i="4"/>
  <c r="J419" i="4"/>
  <c r="J210" i="4"/>
  <c r="J53" i="4"/>
  <c r="J113" i="4"/>
  <c r="J39" i="4"/>
  <c r="J423" i="4"/>
  <c r="J229" i="4"/>
  <c r="J442" i="4"/>
  <c r="J291" i="4"/>
  <c r="J462" i="4"/>
  <c r="J203" i="4"/>
  <c r="J333" i="4"/>
  <c r="J159" i="4"/>
  <c r="J501" i="4"/>
  <c r="J163" i="4"/>
  <c r="J435" i="4"/>
  <c r="J171" i="4"/>
  <c r="J37" i="4"/>
  <c r="J372" i="4"/>
  <c r="J195" i="4"/>
  <c r="J317" i="4"/>
  <c r="J389" i="4"/>
  <c r="J45" i="4"/>
  <c r="J293" i="4"/>
  <c r="J277" i="4"/>
  <c r="J145" i="4"/>
  <c r="J196" i="4"/>
  <c r="J319" i="4"/>
  <c r="J132" i="4"/>
  <c r="J270" i="4"/>
  <c r="J131" i="4"/>
  <c r="J105" i="4"/>
  <c r="J297" i="4"/>
  <c r="J345" i="4"/>
  <c r="J166" i="4"/>
  <c r="J283" i="4"/>
  <c r="J481" i="4"/>
  <c r="J120" i="4"/>
  <c r="J206" i="4"/>
  <c r="J279" i="4"/>
  <c r="J356" i="4"/>
  <c r="J472" i="4"/>
  <c r="J154" i="4"/>
  <c r="J477" i="4"/>
  <c r="J271" i="4"/>
  <c r="J417" i="4"/>
  <c r="J178" i="4"/>
  <c r="J475" i="4"/>
  <c r="J470" i="4"/>
  <c r="J143" i="4"/>
  <c r="J87" i="4"/>
  <c r="J415" i="4"/>
  <c r="J323" i="4"/>
  <c r="E38" i="6"/>
  <c r="E16" i="6" l="1"/>
  <c r="E34" i="6"/>
  <c r="J25" i="4"/>
  <c r="C40" i="6"/>
  <c r="E12" i="6"/>
  <c r="B40" i="6"/>
  <c r="E39" i="6" l="1"/>
  <c r="D40" i="6"/>
  <c r="JL89" i="1" l="1"/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8" i="23"/>
  <c r="A79" i="23" s="1"/>
  <c r="A80" i="23" s="1"/>
  <c r="A81" i="23" s="1"/>
  <c r="A82" i="23" s="1"/>
</calcChain>
</file>

<file path=xl/comments1.xml><?xml version="1.0" encoding="utf-8"?>
<comments xmlns="http://schemas.openxmlformats.org/spreadsheetml/2006/main">
  <authors>
    <author>tc={83937EEF-014E-4ADD-8DB1-68A82781D008}</author>
  </authors>
  <commentList>
    <comment ref="J8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proceso. Publicado. Desierto. 
Adjudicado y Celebrado. Cancelado</t>
        </r>
      </text>
    </comment>
  </commentList>
</comments>
</file>

<file path=xl/comments2.xml><?xml version="1.0" encoding="utf-8"?>
<comments xmlns="http://schemas.openxmlformats.org/spreadsheetml/2006/main">
  <authors>
    <author>Libanesa Feliz</author>
  </authors>
  <commentList>
    <comment ref="C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G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L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M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N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O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P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R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T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U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V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W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X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Y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Z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</commentList>
</comments>
</file>

<file path=xl/sharedStrings.xml><?xml version="1.0" encoding="utf-8"?>
<sst xmlns="http://schemas.openxmlformats.org/spreadsheetml/2006/main" count="2696" uniqueCount="1370">
  <si>
    <t>Totales</t>
  </si>
  <si>
    <t>Productos y útiles varios n.i.p.</t>
  </si>
  <si>
    <t>Repuestos y accesorios menores</t>
  </si>
  <si>
    <t>Productos eléctricos y afines</t>
  </si>
  <si>
    <t>Útiles de cocina y comedor</t>
  </si>
  <si>
    <t>Material para limpieza</t>
  </si>
  <si>
    <t>Otros Productos Quimicos y Conexos</t>
  </si>
  <si>
    <t>99</t>
  </si>
  <si>
    <t>Productos químicos y conexos</t>
  </si>
  <si>
    <t>Lubricantes</t>
  </si>
  <si>
    <t>Gas GLP</t>
  </si>
  <si>
    <t>Gasoil</t>
  </si>
  <si>
    <t>Gasolina</t>
  </si>
  <si>
    <t>Combustibles y lubricantes</t>
  </si>
  <si>
    <t>Otros minerales</t>
  </si>
  <si>
    <t>Carbón mineral</t>
  </si>
  <si>
    <t>Minerales metalíferos</t>
  </si>
  <si>
    <t>Minerales</t>
  </si>
  <si>
    <t>Accesorios de metal</t>
  </si>
  <si>
    <t>Productos de hojalata</t>
  </si>
  <si>
    <t>Herramientas menores</t>
  </si>
  <si>
    <t>Productos metálicos y sus derivados</t>
  </si>
  <si>
    <t>Productos de porcelana</t>
  </si>
  <si>
    <t>Productos de loza</t>
  </si>
  <si>
    <t>Productos de vidrio</t>
  </si>
  <si>
    <t>Productos de vidrio, loza y porcelana</t>
  </si>
  <si>
    <t>Productos de arcilla y derivados</t>
  </si>
  <si>
    <t>Productos de yeso</t>
  </si>
  <si>
    <t>Productos de asbestos</t>
  </si>
  <si>
    <t>Productos de cal</t>
  </si>
  <si>
    <t>Productos de cemento</t>
  </si>
  <si>
    <t>Artículos de plástico</t>
  </si>
  <si>
    <t>Artículos de caucho</t>
  </si>
  <si>
    <t>Llantas y neumáticos</t>
  </si>
  <si>
    <t>Artículos de cuero</t>
  </si>
  <si>
    <t>Cueros y pieles</t>
  </si>
  <si>
    <t>Productos medicinales para uso humano</t>
  </si>
  <si>
    <t>Libros, revistas y periódicos</t>
  </si>
  <si>
    <t>Productos de artes gráficas</t>
  </si>
  <si>
    <t>Papel de escritorio</t>
  </si>
  <si>
    <t>Prendas de vestir</t>
  </si>
  <si>
    <t>Acabados textiles</t>
  </si>
  <si>
    <t>Hilados y telas</t>
  </si>
  <si>
    <t>02</t>
  </si>
  <si>
    <t>01</t>
  </si>
  <si>
    <t>Alimentos y bebidas para personas</t>
  </si>
  <si>
    <t>Servicios de alimentación</t>
  </si>
  <si>
    <t>Tasas</t>
  </si>
  <si>
    <t>Derechos</t>
  </si>
  <si>
    <t>Impuestos</t>
  </si>
  <si>
    <t>Impuestos, derechos y tasas</t>
  </si>
  <si>
    <t>Festividades</t>
  </si>
  <si>
    <t>Organización de eventos y festividades</t>
  </si>
  <si>
    <t>Limpieza e higiene</t>
  </si>
  <si>
    <t>Lavandería</t>
  </si>
  <si>
    <t>Fumigación</t>
  </si>
  <si>
    <t>Fumigación, lavandería, limpieza e higiene</t>
  </si>
  <si>
    <t>Servicios funerarios y gastos conexos</t>
  </si>
  <si>
    <t>Comisiones y gastos bancarios</t>
  </si>
  <si>
    <t>Gastos judiciales</t>
  </si>
  <si>
    <t>07</t>
  </si>
  <si>
    <t>06</t>
  </si>
  <si>
    <t>Seguro de bienes muebles</t>
  </si>
  <si>
    <t>Alquileres de maquinarias y equipos</t>
  </si>
  <si>
    <t>Fletes</t>
  </si>
  <si>
    <t>Viáticos fuera del país</t>
  </si>
  <si>
    <t>Recolección de residuos sólidos</t>
  </si>
  <si>
    <t>Agua</t>
  </si>
  <si>
    <t>Energía eléctrica</t>
  </si>
  <si>
    <t>Electricidad</t>
  </si>
  <si>
    <t>Telefax y correos</t>
  </si>
  <si>
    <t>Teléfono local</t>
  </si>
  <si>
    <t>%</t>
  </si>
  <si>
    <t>Auxiliar</t>
  </si>
  <si>
    <t>Cuenta</t>
  </si>
  <si>
    <t>Objeto</t>
  </si>
  <si>
    <t>Tipo</t>
  </si>
  <si>
    <t>SERVICIO NACIONAL DE SALUD</t>
  </si>
  <si>
    <t>D E S G L O S E    D E    L A S    C U E N T A S</t>
  </si>
  <si>
    <t>1% a ser asignado durante el ejercicio para inversión por calamidad pública</t>
  </si>
  <si>
    <t>`01</t>
  </si>
  <si>
    <t>5% a ser asignado durante el ejercicio para inversión</t>
  </si>
  <si>
    <t>Gastos a Ser Asignados Durante el Ejercicio para Inversión (Art. 32 Y 33 Ley 423-06)</t>
  </si>
  <si>
    <t>Construcciones en bienes de uso privado concesionados</t>
  </si>
  <si>
    <t>Construcciones en bienes de uso público concesionados</t>
  </si>
  <si>
    <t>Construcciones En Bienes Concesionados</t>
  </si>
  <si>
    <t>Obras en plantas industriales, hidrocarburos y minas</t>
  </si>
  <si>
    <t>Obras en cementerios</t>
  </si>
  <si>
    <t>Obras urbanísticas</t>
  </si>
  <si>
    <t>Infraestructura y plantaciones agrícolas</t>
  </si>
  <si>
    <t>Infraestructura marítima y aérea</t>
  </si>
  <si>
    <t>Infraestructura terrestre y obras anexas</t>
  </si>
  <si>
    <t>Obras de telecomunicaciones</t>
  </si>
  <si>
    <t>Obras de Energía</t>
  </si>
  <si>
    <t>Obras Hidráulicas Y Sanitarias</t>
  </si>
  <si>
    <t>Infraestructura</t>
  </si>
  <si>
    <t>Mejoras de tierras y terrenos</t>
  </si>
  <si>
    <t>Obras para edificación de otras estructuras</t>
  </si>
  <si>
    <t>Obras para edificación no residencial</t>
  </si>
  <si>
    <t>Obras para edificación residencial (viviendas)</t>
  </si>
  <si>
    <t>Obras En Edificaciones</t>
  </si>
  <si>
    <t>Obras</t>
  </si>
  <si>
    <t>Otras estructuras</t>
  </si>
  <si>
    <t>Objetos del patrimonio culyural</t>
  </si>
  <si>
    <t>03</t>
  </si>
  <si>
    <t>Antiguedades, bienes artisticos y otros objetos de arte</t>
  </si>
  <si>
    <t>Metales y piedras preciosas</t>
  </si>
  <si>
    <t>Objetos de valor</t>
  </si>
  <si>
    <t>Tierras</t>
  </si>
  <si>
    <t>Terrenos</t>
  </si>
  <si>
    <t>Edificios no residenciales</t>
  </si>
  <si>
    <t>Edificios residenciales (viviendas)</t>
  </si>
  <si>
    <t>Bienes Inmuebles</t>
  </si>
  <si>
    <t>Otros activos intangibles</t>
  </si>
  <si>
    <t>Comerciales</t>
  </si>
  <si>
    <t>`04</t>
  </si>
  <si>
    <t>Industriales</t>
  </si>
  <si>
    <t>`03</t>
  </si>
  <si>
    <t>Intelectuales</t>
  </si>
  <si>
    <t>`02</t>
  </si>
  <si>
    <t>Concesiones</t>
  </si>
  <si>
    <t>Marcas y patentes</t>
  </si>
  <si>
    <t>Estudios de preinversión</t>
  </si>
  <si>
    <t>Originales para esparcimiento, literarios o artísticos</t>
  </si>
  <si>
    <t>Base de datos</t>
  </si>
  <si>
    <t>Programas de informática</t>
  </si>
  <si>
    <t>Programas de informática y base de datos</t>
  </si>
  <si>
    <t>Exploración y evaluación minera</t>
  </si>
  <si>
    <t>Investigación y desarrollo</t>
  </si>
  <si>
    <t>Bienes Intangibles</t>
  </si>
  <si>
    <t>Árboles, cultivos y plantas que generan productos recurrentes</t>
  </si>
  <si>
    <t>Especies menores y de zoológico</t>
  </si>
  <si>
    <t>Equinos</t>
  </si>
  <si>
    <t>Peces y acuicultura</t>
  </si>
  <si>
    <t>Ovinos y caprinos</t>
  </si>
  <si>
    <t>Aves</t>
  </si>
  <si>
    <t>Porcinos</t>
  </si>
  <si>
    <t>Bovinos</t>
  </si>
  <si>
    <t>Activos Biológicos Cultivables</t>
  </si>
  <si>
    <t>Equipos de Seguridad</t>
  </si>
  <si>
    <t>Equipos De Defensa</t>
  </si>
  <si>
    <t>Equipos De Defensa Y Seguridad</t>
  </si>
  <si>
    <t>Otros equipos</t>
  </si>
  <si>
    <t>Equipo de comunicación, telecomunicaciones y señalamiento</t>
  </si>
  <si>
    <t>Maquinaria y equipo de construcción</t>
  </si>
  <si>
    <t>Maquinaria y equipo industrial</t>
  </si>
  <si>
    <t>Maquinaria y equipo agropecuario</t>
  </si>
  <si>
    <t>Maquinaria, Otros Equipos y Herramientas</t>
  </si>
  <si>
    <t>Otros equipos de transporte</t>
  </si>
  <si>
    <t>Equipo de elevación</t>
  </si>
  <si>
    <t>Equipo de tracción</t>
  </si>
  <si>
    <t>Embarcaciones</t>
  </si>
  <si>
    <t>Equipo ferroviario</t>
  </si>
  <si>
    <t>Equipo aeronáutico</t>
  </si>
  <si>
    <t>Carrocerías y remolques</t>
  </si>
  <si>
    <t>Automóviles y camiones</t>
  </si>
  <si>
    <t>Vehículos y Equipo de Transporte, Tracción y Elevación</t>
  </si>
  <si>
    <t>Equipo veterinario</t>
  </si>
  <si>
    <t>Instrumental médico y de laboratorio</t>
  </si>
  <si>
    <t>Equipo médico y de laboratorio</t>
  </si>
  <si>
    <t>Equipo e Instrumental, Científico Y Laboratorio</t>
  </si>
  <si>
    <t>Cámaras fotográficas y de video</t>
  </si>
  <si>
    <t>Aparatos deportivos</t>
  </si>
  <si>
    <t>Equipos y aparatos audiovisuales</t>
  </si>
  <si>
    <t>Otros mobiliarios y equipos no identificados precedentemente</t>
  </si>
  <si>
    <t>Electrodomésticos</t>
  </si>
  <si>
    <t>Muebles de alojamiento, excepto de oficina y estantería</t>
  </si>
  <si>
    <t>Mobiliario Y Equipo</t>
  </si>
  <si>
    <t>Bienes Muebles, Inmuebles e Intangibles</t>
  </si>
  <si>
    <t>Subsidios para viviendas económicas</t>
  </si>
  <si>
    <t>05</t>
  </si>
  <si>
    <t>Subsidio obreros portuarios Ley 199-02</t>
  </si>
  <si>
    <t>04</t>
  </si>
  <si>
    <t>Programa de repitencia escolar</t>
  </si>
  <si>
    <t>Ayudas y donaciones ocasionales a hogares y personas</t>
  </si>
  <si>
    <t>Ayudas y donaciones programadas a hogares y personas</t>
  </si>
  <si>
    <t>Ayudas y donaciones a personas</t>
  </si>
  <si>
    <t xml:space="preserve">Accesorios     </t>
  </si>
  <si>
    <t xml:space="preserve">Repuestos   </t>
  </si>
  <si>
    <t>Productos y útiles veterinarios</t>
  </si>
  <si>
    <t>Útiles destinados a actividades deportivas y recreativas</t>
  </si>
  <si>
    <t>Útiles menores médico quirúrgicos</t>
  </si>
  <si>
    <t>Productos y Útiles Varios</t>
  </si>
  <si>
    <t>1% a ser asignados durante el ej. para gastos corrientes por calamidad pública</t>
  </si>
  <si>
    <t>5% a ser asignados durante el ejercicio para gastos corrientes</t>
  </si>
  <si>
    <t>Gastos a ser Asignados Durante el Ejercicio (ART. 32 Y 33 Ley 423-06)</t>
  </si>
  <si>
    <t>Pinturas, Lacas, Barnices, Diluyentes y Absorbentes para Pintura</t>
  </si>
  <si>
    <t>Insecticidas, Fumigantes y Otros</t>
  </si>
  <si>
    <t>Abonos y Fertilizantes</t>
  </si>
  <si>
    <t>Productos Fotoquímicos</t>
  </si>
  <si>
    <t>Productos explosivos y Pirotecnia</t>
  </si>
  <si>
    <t>Gas Natural</t>
  </si>
  <si>
    <t>Aceites y Grasas</t>
  </si>
  <si>
    <t>Kerosén</t>
  </si>
  <si>
    <t>Combustibles, Lubricantes, Productos Químicos y Conexos</t>
  </si>
  <si>
    <t>Otros Productos Minerales no metálicos</t>
  </si>
  <si>
    <t>Productos abrasivos</t>
  </si>
  <si>
    <t>Productos aislantes</t>
  </si>
  <si>
    <t>Piedra, arcilla y arena</t>
  </si>
  <si>
    <t>Petróleo crudo</t>
  </si>
  <si>
    <t>Productos de cemento, cal, asbesto, yeso y arcilla</t>
  </si>
  <si>
    <t>Productos de Minerales, Metálicos y No Metálicos</t>
  </si>
  <si>
    <t>Productos de Cuero, Caucho y Plásticos</t>
  </si>
  <si>
    <t>Productos medicinales para uso veterinario</t>
  </si>
  <si>
    <t>Productos Farmacéuticos</t>
  </si>
  <si>
    <t>Especies timbrados y valoradas</t>
  </si>
  <si>
    <t>Textos de enseñanza</t>
  </si>
  <si>
    <t>Productos de Papel, Cartón e Impresos</t>
  </si>
  <si>
    <t>Textiles y Vestuarios</t>
  </si>
  <si>
    <t>Madera, corcho y sus manufacturas</t>
  </si>
  <si>
    <t>Productos forestales</t>
  </si>
  <si>
    <t>Productos agrícolas</t>
  </si>
  <si>
    <t>Productos pecuarios</t>
  </si>
  <si>
    <t>Productos agroforestales y pecuarios</t>
  </si>
  <si>
    <t>Alimentos para animales</t>
  </si>
  <si>
    <t>Desayuno escolar</t>
  </si>
  <si>
    <t>Alimentos y Productos Agroforestales</t>
  </si>
  <si>
    <t>Materiales y Suministros</t>
  </si>
  <si>
    <t>Otras Contrataciones de Servicios</t>
  </si>
  <si>
    <t>Otros servicios técnicos profesionales</t>
  </si>
  <si>
    <t>Servicios de informática y sistemas computarizados</t>
  </si>
  <si>
    <t>Servicios de capacitación</t>
  </si>
  <si>
    <t>Servicios de contabilidad y auditoria</t>
  </si>
  <si>
    <t>Servicios jurídicos</t>
  </si>
  <si>
    <t>Estudios, investigaciones y análisis de factibilidad</t>
  </si>
  <si>
    <t>Servicios Técnicos y Profesionales</t>
  </si>
  <si>
    <t>Actuaciones artísticas</t>
  </si>
  <si>
    <t>Actuaciones deportivas</t>
  </si>
  <si>
    <t>Eventos generales</t>
  </si>
  <si>
    <t>Servicios sanitarios médicos y veterinarios</t>
  </si>
  <si>
    <t>Otros Servicios No Personales</t>
  </si>
  <si>
    <t>Instalaciones temporales</t>
  </si>
  <si>
    <t>Otros servicios de mantenimiento y reparacion de maquinaria y equipos, no identificados anteriormente</t>
  </si>
  <si>
    <t>Servicios de Mant. Reparacion, desmonte e instalacion</t>
  </si>
  <si>
    <t>08</t>
  </si>
  <si>
    <t xml:space="preserve">Mant. Y reparacion de equipos industriales y produccion </t>
  </si>
  <si>
    <t>Mantenimiento y reparación de equipos de transporte, tracción y elevación</t>
  </si>
  <si>
    <t>Mantenimiento y reparación de equipo de comunicación</t>
  </si>
  <si>
    <t>Mantenimiento y reparación de equipos sanitarios y de laboratorio</t>
  </si>
  <si>
    <t>Mantenimiento y reparación de equipo educacional</t>
  </si>
  <si>
    <t>Mantenimiento y reparación de equipo de oficina y muebles</t>
  </si>
  <si>
    <t>Reparaciones de maquinarias y equipos</t>
  </si>
  <si>
    <t>Otros mantenimientos, reparaciones y sus derivados, no identificados precedentemente</t>
  </si>
  <si>
    <t>Instalaciones eléctricas</t>
  </si>
  <si>
    <t>Obras en bienes de dominio público</t>
  </si>
  <si>
    <t>Mantenimiento y reparación de obras civiles en instalaciones varias</t>
  </si>
  <si>
    <t>Limpieza, desmalezamiento de tierras y terrenos</t>
  </si>
  <si>
    <t>Servicios especiales de mantenimiento y reparación</t>
  </si>
  <si>
    <t>Obras menores en edificaciones</t>
  </si>
  <si>
    <t>Obras Menores</t>
  </si>
  <si>
    <t>Servicios de Conservación, Reparaciones Menores e Instalaciones Temporales</t>
  </si>
  <si>
    <t>Seguros de la producción agrícola</t>
  </si>
  <si>
    <t>Seguros de personas</t>
  </si>
  <si>
    <t>Seguro de bienes inmuebles e infraestructura</t>
  </si>
  <si>
    <t>Seguros</t>
  </si>
  <si>
    <t>Otros alquileres</t>
  </si>
  <si>
    <t>Alquileres de equipos de construcción y movimiento de tierras</t>
  </si>
  <si>
    <t>Alquileres de terrenos</t>
  </si>
  <si>
    <t>Alquiler de tierras</t>
  </si>
  <si>
    <t>Alquileres de equipos de transporte, tracción y elevación</t>
  </si>
  <si>
    <t>Alquiler de equipos sanitarios y de laboratorios</t>
  </si>
  <si>
    <t>Alquiler de equipo de oficina y muebles</t>
  </si>
  <si>
    <t>Alquiler de equipo de comunicación</t>
  </si>
  <si>
    <t>Alquiler de equipo educacional</t>
  </si>
  <si>
    <t>Alquileres de equipos de producción</t>
  </si>
  <si>
    <t>Alquileres y rentas de edificios y locales</t>
  </si>
  <si>
    <t>Alquileres y Rentas</t>
  </si>
  <si>
    <t>Peaje</t>
  </si>
  <si>
    <t>Almacenaje</t>
  </si>
  <si>
    <t>Pasajes</t>
  </si>
  <si>
    <t>Transporte y Almacenaje</t>
  </si>
  <si>
    <t>Viáticos dentro del país</t>
  </si>
  <si>
    <t>Viáticos</t>
  </si>
  <si>
    <t>Impresión y encuadernación</t>
  </si>
  <si>
    <t>Publicidad y propaganda</t>
  </si>
  <si>
    <t>Publicidad Impresión y Encuadernación</t>
  </si>
  <si>
    <t>Electricidad no cortable</t>
  </si>
  <si>
    <t>Servicio de Internet y televisión por cable</t>
  </si>
  <si>
    <t>Servicios telefónico de larga distancia</t>
  </si>
  <si>
    <t>Radiocomunicación</t>
  </si>
  <si>
    <t>Servicios Básicos</t>
  </si>
  <si>
    <t>Servicios No Personales</t>
  </si>
  <si>
    <t>Contribuciones al plan de retiro complementario</t>
  </si>
  <si>
    <t>Contribuciones al seguro de riesgo laboral</t>
  </si>
  <si>
    <t>Contribuciones al seguro de pensiones</t>
  </si>
  <si>
    <t>Contribuciones al seguro de salud</t>
  </si>
  <si>
    <t>Contribuciones a la Seguridad Social y Riesgo Laboral</t>
  </si>
  <si>
    <t>Gratificaciones por aniversario de institución</t>
  </si>
  <si>
    <t>Gratificaciones por pasantías</t>
  </si>
  <si>
    <t>Bono escolar</t>
  </si>
  <si>
    <t>Otras Gratificaciones y Bonificaciones</t>
  </si>
  <si>
    <t>Bonificaciones</t>
  </si>
  <si>
    <t>Gratificaciones y Bonificaciones</t>
  </si>
  <si>
    <t>Gastos de representación en el exterior</t>
  </si>
  <si>
    <t>Gastos de representación en el país</t>
  </si>
  <si>
    <t>Gastos de representación</t>
  </si>
  <si>
    <t>Dietas en el exterior</t>
  </si>
  <si>
    <t>Dietas en el país</t>
  </si>
  <si>
    <t>Dietas</t>
  </si>
  <si>
    <t>Dietas y Gastos de Representación</t>
  </si>
  <si>
    <t>09</t>
  </si>
  <si>
    <t>Compensaciones especiales</t>
  </si>
  <si>
    <t>Compensación por distancia</t>
  </si>
  <si>
    <t>Compensación servicios de Seguridad</t>
  </si>
  <si>
    <t>Prima de transporte</t>
  </si>
  <si>
    <t>Compensación por gastos de alimentación</t>
  </si>
  <si>
    <t>Compensación</t>
  </si>
  <si>
    <t>Primas por antigüedad</t>
  </si>
  <si>
    <t>Sobresueldos</t>
  </si>
  <si>
    <t>Proporción de vacaciones no disfrutadas</t>
  </si>
  <si>
    <t>Prestación laboral por desvinculación</t>
  </si>
  <si>
    <t>Pago de porcentaje por desvinculación de cargo</t>
  </si>
  <si>
    <t>Sueldos al personal fijo en trámite de pensiones</t>
  </si>
  <si>
    <t xml:space="preserve"> Jornales</t>
  </si>
  <si>
    <t>Sueldo al personal nominal en período probatorio</t>
  </si>
  <si>
    <t>Suplencias</t>
  </si>
  <si>
    <t>Remuneraciones al personal con carácter transitorio</t>
  </si>
  <si>
    <t>Incentivos y escalafón</t>
  </si>
  <si>
    <t>Nuevas plazas maestros</t>
  </si>
  <si>
    <t>Ascensos a militares</t>
  </si>
  <si>
    <t>Sueldos a médicos</t>
  </si>
  <si>
    <t>Remuneraciones al personal fijo</t>
  </si>
  <si>
    <t>Remuneraciones</t>
  </si>
  <si>
    <t>Servicios Personales</t>
  </si>
  <si>
    <t>Gastos</t>
  </si>
  <si>
    <t>Aportes Nomina SNS</t>
  </si>
  <si>
    <t>Venta de Servicios/    Otros Aportes</t>
  </si>
  <si>
    <t>Sub-Cuenta</t>
  </si>
  <si>
    <t>TOTAL</t>
  </si>
  <si>
    <t xml:space="preserve">Distribución del Gasto por Fuente de Financiamiento </t>
  </si>
  <si>
    <t>Descripción Gasto por Cuenta</t>
  </si>
  <si>
    <t>Código Presupuestario</t>
  </si>
  <si>
    <t>TOTAL INGRESOS RDS</t>
  </si>
  <si>
    <t>Venta de Servicios</t>
  </si>
  <si>
    <t>Transferencias Corrientes</t>
  </si>
  <si>
    <t>VS</t>
  </si>
  <si>
    <t>FR</t>
  </si>
  <si>
    <t>OBJETAL</t>
  </si>
  <si>
    <t>Otros Aportes</t>
  </si>
  <si>
    <t>Anticipo Financiero</t>
  </si>
  <si>
    <t>2.- Ingresos por Fuente / Cuenta</t>
  </si>
  <si>
    <t>1.- Balance Inicial / Fuente:</t>
  </si>
  <si>
    <t>Ingresos Generales:</t>
  </si>
  <si>
    <t>Consolidado de Ingresos y Gastos por Fuente de Financiamiento</t>
  </si>
  <si>
    <t>Servicio Nacional de Salud</t>
  </si>
  <si>
    <t>Form. No.6 SRS</t>
  </si>
  <si>
    <t>Porciento</t>
  </si>
  <si>
    <t>Total General</t>
  </si>
  <si>
    <t>Total</t>
  </si>
  <si>
    <t>Otros  Egresos y Gastos</t>
  </si>
  <si>
    <t>Materiales de Limpieza e Higiene</t>
  </si>
  <si>
    <t>GLP</t>
  </si>
  <si>
    <t xml:space="preserve">Gasolina </t>
  </si>
  <si>
    <t>Articulos de Plasticos</t>
  </si>
  <si>
    <t>Productos de papel, carton e impesos</t>
  </si>
  <si>
    <t xml:space="preserve">Alimentos y Bebidas para Personas </t>
  </si>
  <si>
    <t xml:space="preserve">Materiales de Oficina, Impresión y Encuadernación  </t>
  </si>
  <si>
    <t xml:space="preserve">Comisiones y Gastos Bancarios </t>
  </si>
  <si>
    <t xml:space="preserve">Alquileres </t>
  </si>
  <si>
    <t>Transporte y almacenaje</t>
  </si>
  <si>
    <t xml:space="preserve">Viáticos </t>
  </si>
  <si>
    <t>Servicio Telefónico</t>
  </si>
  <si>
    <t xml:space="preserve">Servicios Personales </t>
  </si>
  <si>
    <t>Gastos Administrativos</t>
  </si>
  <si>
    <t xml:space="preserve">Productos Eléctricos y Afines </t>
  </si>
  <si>
    <t>Reparación y Mantenimiento Maquinaria y Eq.</t>
  </si>
  <si>
    <t>Mantenimiento de Equipos</t>
  </si>
  <si>
    <t>Reactivos e Insumos de Laboratorio</t>
  </si>
  <si>
    <t>Oxigeno</t>
  </si>
  <si>
    <t>Medicamentos e Insumos Médicos</t>
  </si>
  <si>
    <t>Atención Directa</t>
  </si>
  <si>
    <t xml:space="preserve"> VENTA SERVICIOS</t>
  </si>
  <si>
    <t>DETALLE</t>
  </si>
  <si>
    <t>RETENCION</t>
  </si>
  <si>
    <t>FECHA</t>
  </si>
  <si>
    <t>TRANSF NO.</t>
  </si>
  <si>
    <t>VALOR</t>
  </si>
  <si>
    <t>AÑOS ANTERIORES</t>
  </si>
  <si>
    <t>Proveedor Informal</t>
  </si>
  <si>
    <t>Incentivo por Rendimieto Individual</t>
  </si>
  <si>
    <t>11</t>
  </si>
  <si>
    <t>Productos Químicos de uso Personal y Laboratorio</t>
  </si>
  <si>
    <t>Contraseña: 0001</t>
  </si>
  <si>
    <t>Personal de carácter eventual</t>
  </si>
  <si>
    <t xml:space="preserve">Servicios de alimentación </t>
  </si>
  <si>
    <t>Servicios de catering</t>
  </si>
  <si>
    <t>Nuevas plazas a médicos</t>
  </si>
  <si>
    <t xml:space="preserve"> Sueldos a empleados fijos</t>
  </si>
  <si>
    <t>Empleados temporales</t>
  </si>
  <si>
    <t>Interinato</t>
  </si>
  <si>
    <t>Sueldo anual no. 13</t>
  </si>
  <si>
    <t>Prestaciones económinas</t>
  </si>
  <si>
    <t>Pago de horas extraordinarias</t>
  </si>
  <si>
    <t>Bono por desempeño a servidores de carrera</t>
  </si>
  <si>
    <t>Compensacion por cumplimiento de indicadores</t>
  </si>
  <si>
    <t>Alquileres de equipos electricos (plantas)</t>
  </si>
  <si>
    <t>Alquiler de equipo de tecnologia y almacenamiento de datos</t>
  </si>
  <si>
    <t>Derechos de uso</t>
  </si>
  <si>
    <t>Licencias informaticas</t>
  </si>
  <si>
    <t>Mantenimiento, reparacion, servicios de pintura y sus derivados</t>
  </si>
  <si>
    <t>Mantenimiento y rep. de equipo de tecnologia e informatica</t>
  </si>
  <si>
    <t>Papel y cartón</t>
  </si>
  <si>
    <t>Otros productos no metálicos</t>
  </si>
  <si>
    <t>Útiles y materiales de limpieza e higiene</t>
  </si>
  <si>
    <t>Útiles y materiales de limpieza e higiene personal</t>
  </si>
  <si>
    <t>Útiles y materiales de escritorio, oficina e informática</t>
  </si>
  <si>
    <t>Útiles de escritorio, oficina, informática, escolares y de enseñanza</t>
  </si>
  <si>
    <t>Productos y útiles e defensa y seguridad</t>
  </si>
  <si>
    <t>Muebles, equipos de oficina y estantería</t>
  </si>
  <si>
    <t>Equipo de tecnologia de la informacion y comunicación</t>
  </si>
  <si>
    <t>Mobiliario y equipo educacional y recreativo</t>
  </si>
  <si>
    <t>Mobiliario y Eq. de Audio, Audiovisual, Recreativo y Educacional</t>
  </si>
  <si>
    <t>Equipo e instrumentos de medición científica</t>
  </si>
  <si>
    <t>Sistemas y equipos de climatización</t>
  </si>
  <si>
    <t>Equipo de generación eléctrica y a fines</t>
  </si>
  <si>
    <t>Máquinas-herramientas</t>
  </si>
  <si>
    <t>Otros activos que generan producción recurrente</t>
  </si>
  <si>
    <t>Adquisición de mejoras residenciales</t>
  </si>
  <si>
    <t>Adquisición de mejoras no residenciales</t>
  </si>
  <si>
    <t>Licencias intelectuales, industriales y comerciales</t>
  </si>
  <si>
    <t>Dirección de Fizcalización</t>
  </si>
  <si>
    <t>Gastos Inversion y Capital</t>
  </si>
  <si>
    <t>Servicios Basicos (electricidad, agua y residuos solidos)</t>
  </si>
  <si>
    <t>Fondo 100</t>
  </si>
  <si>
    <t>RESUMEN COMPARATIVO DE GASTOS ESPECIFICOS FONDO 100 Y VENTA DE SERVICIOS</t>
  </si>
  <si>
    <t>DIRECCION DE FISCALIZACION Y CONTROL</t>
  </si>
  <si>
    <t>RELACION DE PAGOS EMITIDOS DURANTE EL MES</t>
  </si>
  <si>
    <t>ESTABLECIMIENTO:</t>
  </si>
  <si>
    <t xml:space="preserve"> LIBRAMIENTO</t>
  </si>
  <si>
    <t>TRANSFERENCIA</t>
  </si>
  <si>
    <t>CHEQUE</t>
  </si>
  <si>
    <t>BENEFICIARIO</t>
  </si>
  <si>
    <t xml:space="preserve">NO.FACTURAS </t>
  </si>
  <si>
    <t>VALOR DE  FACTURA</t>
  </si>
  <si>
    <t>VALOR PAGADO</t>
  </si>
  <si>
    <t>MONTO</t>
  </si>
  <si>
    <t>TIPO</t>
  </si>
  <si>
    <t>Fecha de imputación: hasta el [día] de [mes] del [año]</t>
  </si>
  <si>
    <t>Fecha de registro: hasta el [día] de [mes] del [año]</t>
  </si>
  <si>
    <t>Fuente: [fuente]</t>
  </si>
  <si>
    <t>TOTAL GASTOS Y APLICACIONES FINANCIERAS</t>
  </si>
  <si>
    <t>TOTAL APLICACIONES FINANCIERAS</t>
  </si>
  <si>
    <t>4.3.5 - DISMINUCIÓN DEPÓSITOS FONDOS DE TERCEROS</t>
  </si>
  <si>
    <t>4.3 - DISMINUCIÓN DE FONDOS DE TERCEROS</t>
  </si>
  <si>
    <t>4.2.2 - DISMINUCIÓN DE PASIVOS NO CORRIENTES</t>
  </si>
  <si>
    <t>4.2.1 - DISMINUCIÓN DE PASIVOS CORRIENTES</t>
  </si>
  <si>
    <t>4.2 - DISMINUCIÓN DE PASIVOS</t>
  </si>
  <si>
    <t>4.1.2 - INCREMENTO DE ACTIVOS FINANCIEROS NO CORRIENTES</t>
  </si>
  <si>
    <t>4.1.1 - INCREMENTO DE ACTIVOS FINANCIEROS CORRIENTES</t>
  </si>
  <si>
    <t>4.1 - INCREMENTO DE ACTIVOS FINANCIEROS</t>
  </si>
  <si>
    <t>4 - APLICACIONES FINANCIERAS</t>
  </si>
  <si>
    <t>Total Gastos</t>
  </si>
  <si>
    <t>2.9.4 - COMISIONES Y OTROS GASTOS BANCARIOS DE LA DEUDA PÚBLICA</t>
  </si>
  <si>
    <t>2.9.2 - INTERESES DE LA DEUDA PUBLICA EXTERNA</t>
  </si>
  <si>
    <t>2.9.1 - INTERESES DE LA DEUDA PÚBLICA INTERNA</t>
  </si>
  <si>
    <t>2.9 - GASTOS FINANCIEROS</t>
  </si>
  <si>
    <t>2.8.2 - ADQUISICIÓN DE TÍTULOS VALORES REPRESENTATIVOS DE DEUDA</t>
  </si>
  <si>
    <t>2.8.1 - CONCESIÓN DE PRESTAMOS</t>
  </si>
  <si>
    <t>2.8 - ADQUISICION DE ACTIVOS FINANCIEROS CON FINES DE POLÍTICA</t>
  </si>
  <si>
    <t>2.7.4 - GASTOS QUE SE ASIGNARÁN DURANTE EL EJERCICIO PARA INVERSIÓN (ART. 32 Y 33 LEY 423-06)</t>
  </si>
  <si>
    <t>2.7.3 - CONSTRUCCIONES EN BIENES CONCESIONADOS</t>
  </si>
  <si>
    <t>2.7.2 - INFRAESTRUCTURA</t>
  </si>
  <si>
    <t>2.7.1 - OBRAS EN EDIFICACIONES</t>
  </si>
  <si>
    <t>2.7 - OBRAS</t>
  </si>
  <si>
    <t>2.6.9 - EDIFICIOS, ESTRUCTURAS, TIERRAS, TERRENOS Y OBJETOS DE VALOR</t>
  </si>
  <si>
    <t>2.6.8 - BIENES INTANGIBLES</t>
  </si>
  <si>
    <t>2.6.7 - ACTIVOS BIÓLOGICOS CULTIVABLES</t>
  </si>
  <si>
    <t>2.6.6 - EQUIPOS DE DEFENSA Y SEGURIDAD</t>
  </si>
  <si>
    <t>2.6.5 - MAQUINARIA, OTROS EQUIPOS Y HERRAMIENTAS</t>
  </si>
  <si>
    <t>2.6.4 - VEHÍCULOS Y EQUIPO DE TRANSPORTE, TRACCIÓN Y ELEVACIÓN</t>
  </si>
  <si>
    <t>2.6.3 - EQUIPO E INSTRUMENTAL, CIENTÍFICO Y LABORATORIO</t>
  </si>
  <si>
    <t>2.6.2 - MOBILIARIO Y EQUIPO EDUCACIONAL Y RECREATIVO</t>
  </si>
  <si>
    <t>2.6.1 - MOBILIARIO Y EQUIPO</t>
  </si>
  <si>
    <t>2.6 - BIENES MUEBLES, INMUEBLES E INTANGIBLES</t>
  </si>
  <si>
    <t>2.5.9 - TRANSFERENCIAS DE CAPITAL A OTRAS INSTITUCIONES PÚBLICAS</t>
  </si>
  <si>
    <t>2.5.6 - TRANSFERENCIAS DE CAPITAL AL SECTOR EXTERNO</t>
  </si>
  <si>
    <t>2.5.5 - TRANSFERENCIAS DE CAPITAL A INSTITUCIONES PÚBLICAS FINANCIERAS</t>
  </si>
  <si>
    <t>2.5.4 - TRANSFERENCIAS DE CAPITAL  A EMPRESAS PÚBLICAS NO FINANCIERAS</t>
  </si>
  <si>
    <t>2.5.3 - TRANSFERENCIAS DE CAPITAL A GOBIERNOS GENERALES LOCALES</t>
  </si>
  <si>
    <t>2.5.2 - TRANSFERENCIAS DE CAPITAL AL GOBIERNO GENERAL  NACIONAL</t>
  </si>
  <si>
    <t>2.5.1 - TRANSFERENCIAS DE CAPITAL AL SECTOR PRIVADO</t>
  </si>
  <si>
    <t>2.5 - TRANSFERENCIAS DE CAPITAL</t>
  </si>
  <si>
    <t>2.4.9 - TRANSFERENCIAS CORRIENTES A OTRAS INSTITUCIONES PÚBLICAS</t>
  </si>
  <si>
    <t>2.4.7 - TRANSFERENCIAS CORRIENTES AL SECTOR EXTERNO</t>
  </si>
  <si>
    <t>2.4.5 - TRANSFERENCIAS CORRIENTES A INSTITUCIONES PÚBLICAS FINANCIERAS</t>
  </si>
  <si>
    <t>2.4.4 - TRANSFERENCIAS CORRIENTES A EMPRESAS PÚBLICAS NO FINANCIERAS</t>
  </si>
  <si>
    <t>2.4.3 - TRANSFERENCIAS CORRIENTES A GOBIERNOS GENERALES LOCALES</t>
  </si>
  <si>
    <t>2.4.2 - TRANSFERENCIAS CORRIENTES AL  GOBIERNO GENERAL NACIONAL</t>
  </si>
  <si>
    <t>2.4.1 - TRANSFERENCIAS CORRIENTES AL SECTOR PRIVADO</t>
  </si>
  <si>
    <t>2.4 - TRANSFERENCIAS CORRIENTES</t>
  </si>
  <si>
    <t>2.3.9 - PRODUCTOS Y ÚTILES VARIOS</t>
  </si>
  <si>
    <t>2.3.8 - GASTOS QUE SE ASIGNARÁN DURANTE EL EJERCICIO (ART. 32 Y 33 LEY 423-06)</t>
  </si>
  <si>
    <t>2.3.7 - COMBUSTIBLES, LUBRICANTES, PRODUCTOS QUÍMICOS Y CONEXOS</t>
  </si>
  <si>
    <t>2.3.6 - PRODUCTOS DE MINERALES, METÁLICOS Y NO METÁLICOS</t>
  </si>
  <si>
    <t>2.3.5 - PRODUCTOS DE CUERO, CAUCHO Y PLÁSTICO</t>
  </si>
  <si>
    <t>2.3.4 - PRODUCTOS FARMACÉUTICOS</t>
  </si>
  <si>
    <t>2.3.3 - PRODUCTOS DE PAPEL, CARTÓN E IMPRESOS</t>
  </si>
  <si>
    <t>2.3.2 - TEXTILES Y VESTUARIOS</t>
  </si>
  <si>
    <t>2.3.1 - ALIMENTOS Y PRODUCTOS AGROFORESTALES</t>
  </si>
  <si>
    <t>2.3 - MATERIALES Y SUMINISTROS</t>
  </si>
  <si>
    <t>2.2.9 - OTRAS CONTRATACIONES DE SERVICIOS</t>
  </si>
  <si>
    <t>2.2.8 - OTROS SERVICIOS NO INCLUIDOS EN CONCEPTOS ANTERIORES</t>
  </si>
  <si>
    <t>2.2.7 - SERVICIOS DE CONSERVACIÓN, REPARACIONES MENORES E INSTALACIONES TEMPORALES</t>
  </si>
  <si>
    <t>2.2.6 - SEGUROS</t>
  </si>
  <si>
    <t>2.2.5 - ALQUILERES Y RENTAS</t>
  </si>
  <si>
    <t>2.2.4 - TRANSPORTE Y ALMACENAJE</t>
  </si>
  <si>
    <t>2.2.3 - VIÁTICOS</t>
  </si>
  <si>
    <t>2.2.2 - PUBLICIDAD, IMPRESIÓN Y ENCUADERNACIÓN</t>
  </si>
  <si>
    <t>2.2.1 - SERVICIOS BÁSICOS</t>
  </si>
  <si>
    <t>2.2 - CONTRATACIÓN DE SERVICIOS</t>
  </si>
  <si>
    <t>2.1.5 - CONTRIBUCIONES A LA SEGURIDAD SOCIAL</t>
  </si>
  <si>
    <t>2.1.4 - GRATIFICACIONES Y BONIFICACIONES</t>
  </si>
  <si>
    <t>2.1.3 - DIETAS Y GASTOS DE REPRESENTACIÓN</t>
  </si>
  <si>
    <t>2.1.2 - SOBRESUELDOS</t>
  </si>
  <si>
    <t>2.1.1 - REMUNERACIONES</t>
  </si>
  <si>
    <t>2.1 - REMUNERACIONES Y CONTRIBUCIONES</t>
  </si>
  <si>
    <t>2 - GASTOS</t>
  </si>
  <si>
    <t>Diciembre</t>
  </si>
  <si>
    <t>Noviembre</t>
  </si>
  <si>
    <t xml:space="preserve">Octubre </t>
  </si>
  <si>
    <t>Septiembre</t>
  </si>
  <si>
    <t>Agosto</t>
  </si>
  <si>
    <t>Julio</t>
  </si>
  <si>
    <t>Junio</t>
  </si>
  <si>
    <t>Mayo</t>
  </si>
  <si>
    <t>Abril</t>
  </si>
  <si>
    <t>Marzo</t>
  </si>
  <si>
    <t xml:space="preserve">Febrero </t>
  </si>
  <si>
    <t xml:space="preserve">Enero </t>
  </si>
  <si>
    <t xml:space="preserve">Total </t>
  </si>
  <si>
    <t>Detalle</t>
  </si>
  <si>
    <t>En RD$</t>
  </si>
  <si>
    <t>REGION</t>
  </si>
  <si>
    <t xml:space="preserve">SERVICIO NACIONAL DE SALUD </t>
  </si>
  <si>
    <t>FONDO REPONIBLE</t>
  </si>
  <si>
    <t>VENTA SEVICIOS/OTROS APORTES</t>
  </si>
  <si>
    <t xml:space="preserve">TOTAL </t>
  </si>
  <si>
    <t>1ro</t>
  </si>
  <si>
    <t>2do</t>
  </si>
  <si>
    <t>3ro</t>
  </si>
  <si>
    <t>4to</t>
  </si>
  <si>
    <t>SERVICIO REGIONAL DE SALUD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</si>
  <si>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</si>
  <si>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</si>
  <si>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</si>
  <si>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</si>
  <si>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</si>
  <si>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</si>
  <si>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</si>
  <si>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</si>
  <si>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</si>
  <si>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</si>
  <si>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</si>
  <si>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</si>
  <si>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</si>
  <si>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</si>
  <si>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</si>
  <si>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</si>
  <si>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</si>
  <si>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</si>
  <si>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</si>
  <si>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</si>
  <si>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</si>
  <si>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Preparado por: </t>
  </si>
  <si>
    <t xml:space="preserve">Revisado por: </t>
  </si>
  <si>
    <t xml:space="preserve">Servicio Nacional de Salud </t>
  </si>
  <si>
    <t xml:space="preserve">Dirección de Fiscalización </t>
  </si>
  <si>
    <t xml:space="preserve">Comportamiento de Ingresos percibidos Segregados según Origen </t>
  </si>
  <si>
    <t>ARS</t>
  </si>
  <si>
    <t xml:space="preserve">Fecha deposito </t>
  </si>
  <si>
    <t xml:space="preserve">No. De Documento de referencia </t>
  </si>
  <si>
    <t>INGRESOS</t>
  </si>
  <si>
    <t xml:space="preserve">Sub-Total </t>
  </si>
  <si>
    <t>SALUD SEGURA</t>
  </si>
  <si>
    <t>APS</t>
  </si>
  <si>
    <t>SIMAG</t>
  </si>
  <si>
    <t>GMA</t>
  </si>
  <si>
    <t>YUNEN</t>
  </si>
  <si>
    <t>UNIVERSAL</t>
  </si>
  <si>
    <t>MONUMENTAL</t>
  </si>
  <si>
    <t>FUTURO</t>
  </si>
  <si>
    <t xml:space="preserve">Cafetería </t>
  </si>
  <si>
    <t>Alquiler de espacios internos a terceros</t>
  </si>
  <si>
    <t>INGRESOS POR SERVICIOS PACIENTES PRIVADOS Y DIFERENCIAS POR SEGUROS MEDICOS</t>
  </si>
  <si>
    <t>Otros (Identificar Fuente )</t>
  </si>
  <si>
    <t xml:space="preserve">Total General </t>
  </si>
  <si>
    <t xml:space="preserve">Aprobado por:  </t>
  </si>
  <si>
    <t xml:space="preserve">Servicio Nacional De Salud </t>
  </si>
  <si>
    <t xml:space="preserve">Dirección de Fiscalizacion </t>
  </si>
  <si>
    <t>Ingresos Por Facturación ARS</t>
  </si>
  <si>
    <t xml:space="preserve"> </t>
  </si>
  <si>
    <t>Establecimiento: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</si>
  <si>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</si>
  <si>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</si>
  <si>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</si>
  <si>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</si>
  <si>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</si>
  <si>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</si>
  <si>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</si>
  <si>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</si>
  <si>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</si>
  <si>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</si>
  <si>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</si>
  <si>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</si>
  <si>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Facturado </t>
  </si>
  <si>
    <t xml:space="preserve">Recibido </t>
  </si>
  <si>
    <t>SENASA SUBSIDIADO</t>
  </si>
  <si>
    <t>SENASA CONTRIBUTIVO</t>
  </si>
  <si>
    <t>SENASA  JUB. Y PENS.</t>
  </si>
  <si>
    <t>Total SeNaSa</t>
  </si>
  <si>
    <t>PALIC SALUD</t>
  </si>
  <si>
    <t xml:space="preserve">ARL </t>
  </si>
  <si>
    <t>RENACER</t>
  </si>
  <si>
    <t>ARS HUMANO</t>
  </si>
  <si>
    <t xml:space="preserve">ARS PLANSALUD BANCO CENTRAL </t>
  </si>
  <si>
    <t xml:space="preserve">SEMMA </t>
  </si>
  <si>
    <t>CONSTITUCION</t>
  </si>
  <si>
    <t>META SALUD</t>
  </si>
  <si>
    <t>ASEMAP</t>
  </si>
  <si>
    <t>CMD</t>
  </si>
  <si>
    <t>RESERVAS</t>
  </si>
  <si>
    <t>SEMUNASED</t>
  </si>
  <si>
    <t>SERVICIOS MEDICOS UASD</t>
  </si>
  <si>
    <t xml:space="preserve">PRIMERA ARS HUMANO </t>
  </si>
  <si>
    <t>Total ARS PRIVADAS</t>
  </si>
  <si>
    <t>Preparado por:</t>
  </si>
  <si>
    <t xml:space="preserve">Licda. </t>
  </si>
  <si>
    <t xml:space="preserve">              Servicio Nacional de Salud                              </t>
  </si>
  <si>
    <t>Glosa /mes</t>
  </si>
  <si>
    <t>Establecimientos</t>
  </si>
  <si>
    <t>Facturado</t>
  </si>
  <si>
    <t>Glosado</t>
  </si>
  <si>
    <t xml:space="preserve">                  Servicio Nacional de Salud </t>
  </si>
  <si>
    <t xml:space="preserve">RELACION DEUDA </t>
  </si>
  <si>
    <t>NO</t>
  </si>
  <si>
    <t xml:space="preserve">NOMBRES PROVEEDOR  </t>
  </si>
  <si>
    <t>AL 31 DICIEMBRE 2021</t>
  </si>
  <si>
    <t>AL 31 DICIEMBRE 2022</t>
  </si>
  <si>
    <t>TOTAL ADEUDA</t>
  </si>
  <si>
    <t xml:space="preserve">TOTAL GENERAL </t>
  </si>
  <si>
    <t>DIRECCION DE FISCALIZACION</t>
  </si>
  <si>
    <t>INGR. POR FACT DE SERV. DE INSTITUCIONES</t>
  </si>
  <si>
    <t>FONDO 100</t>
  </si>
  <si>
    <t>CONSOLIDADO GASTOS EJECUCION FINANCIERA 2025</t>
  </si>
  <si>
    <t>Ejecución de Gastos  Fondo (100) 2025</t>
  </si>
  <si>
    <t>FONDO 100(2.1)</t>
  </si>
  <si>
    <t>Años anteriores 2020</t>
  </si>
  <si>
    <t>AL 31 DICIEMBRE 2023</t>
  </si>
  <si>
    <t>Al 31 DICIEMBRE 2024</t>
  </si>
  <si>
    <t>Enero</t>
  </si>
  <si>
    <t>Febrero</t>
  </si>
  <si>
    <t>Octubre</t>
  </si>
  <si>
    <t>Bio Nuclear, SA</t>
  </si>
  <si>
    <t>Ciencia Tecnología y Consultas, SRL</t>
  </si>
  <si>
    <t>Farmaco Internacional, SRL</t>
  </si>
  <si>
    <t>Bello-Lab, SRL</t>
  </si>
  <si>
    <t>G &amp; M Gelmat Comercial, SRL</t>
  </si>
  <si>
    <t>Corporacion Medica A.G., SRL</t>
  </si>
  <si>
    <t>Macrotech Farmacéutica, SRL</t>
  </si>
  <si>
    <t>Q&amp;Q Medical RD, SRL</t>
  </si>
  <si>
    <t>Abrias Novo Group SRL</t>
  </si>
  <si>
    <t>PAGO PROVEEDORES</t>
  </si>
  <si>
    <t>CAJA CHICA</t>
  </si>
  <si>
    <t>NOMINA</t>
  </si>
  <si>
    <t>OTROS</t>
  </si>
  <si>
    <t>HOSPITAL MATERNO INFANTIL SAN LORENZO DE LOS MINA</t>
  </si>
  <si>
    <t>DIRECCIÓN DE FISCALIZACIÓN Y CONTROL</t>
  </si>
  <si>
    <t>PROMESE CAL</t>
  </si>
  <si>
    <t>AL 31 DE ENERO 2025</t>
  </si>
  <si>
    <t>AL 28 DE FEBRERO 2025</t>
  </si>
  <si>
    <t>Medequip, SRL</t>
  </si>
  <si>
    <t>Grupo Xeron Medic SRL</t>
  </si>
  <si>
    <t>Ropharma, SRL</t>
  </si>
  <si>
    <t>Bio Nova, SRL</t>
  </si>
  <si>
    <t>Papelería E. Impresos Crishoan, SRL</t>
  </si>
  <si>
    <t>Leromed Pharma, SRL</t>
  </si>
  <si>
    <t>Insocorp, S.R.L.</t>
  </si>
  <si>
    <t>Hospifar, SRL</t>
  </si>
  <si>
    <t>Bio Win, SRL</t>
  </si>
  <si>
    <t>Ventas Diversas Farmaceuticas, SRL (VENDIFAR)</t>
  </si>
  <si>
    <t>GA INTERPRISE IMPORT, SRL</t>
  </si>
  <si>
    <t>D, CORA INDUSTRIAL, S.R.L</t>
  </si>
  <si>
    <t xml:space="preserve">VARA, SRL. </t>
  </si>
  <si>
    <t>Morami, SRL</t>
  </si>
  <si>
    <t>Caribbean Integrated Solutions, SRL</t>
  </si>
  <si>
    <t>SLYKING GROUP, SRL</t>
  </si>
  <si>
    <t xml:space="preserve">FARMACIA RUTH </t>
  </si>
  <si>
    <t>LE.F.P CONSULTORES SRL</t>
  </si>
  <si>
    <t>UNIQUE REPRESENTACIONES, S.R.L</t>
  </si>
  <si>
    <t>Delia Josefina Tatis Perdomo</t>
  </si>
  <si>
    <t>ROPHARMA, SRL</t>
  </si>
  <si>
    <t xml:space="preserve">J. JIREH EQUIPOS MEDICOS SRL </t>
  </si>
  <si>
    <t xml:space="preserve">PATRIA RIVAS LABORATORIO CLINICO </t>
  </si>
  <si>
    <t>Gerenfar, S.R.L.</t>
  </si>
  <si>
    <t xml:space="preserve">CUENTAS POR PAGAR A: </t>
  </si>
  <si>
    <t>ESTABLECIMIENTO:HOSPITAL MATERNO INFANTIL SAN LORENZO DE LOS MINA</t>
  </si>
  <si>
    <t>Oficclin Comercial, SRL</t>
  </si>
  <si>
    <t>PAPELERIA E IMPRESOS CRISHOAN, SRL</t>
  </si>
  <si>
    <t>HOSPITAL MATERNO INFANTIL SAN LORENZO DE LOS MINAS</t>
  </si>
  <si>
    <t>BAUCOMER, SRL</t>
  </si>
  <si>
    <t>Food Caraballo &amp; Núñez, SRL</t>
  </si>
  <si>
    <t>RESUMEN</t>
  </si>
  <si>
    <t>TOTAL GENERAL</t>
  </si>
  <si>
    <t xml:space="preserve">valor de Transferencia o Cheque </t>
  </si>
  <si>
    <t>Odontologia (facturacion servicios no contemplado en Plan Basico)</t>
  </si>
  <si>
    <t>Aportes provenientes de convenios Institucionales</t>
  </si>
  <si>
    <t>Cuenta Núm.</t>
  </si>
  <si>
    <t>Balance en libro</t>
  </si>
  <si>
    <t>Balance en Banco</t>
  </si>
  <si>
    <t>Balance Conciliado</t>
  </si>
  <si>
    <t>____________________________________</t>
  </si>
  <si>
    <t>___________________________________</t>
  </si>
  <si>
    <t>________________________________</t>
  </si>
  <si>
    <t>.</t>
  </si>
  <si>
    <t>FONDO 100(2.3)</t>
  </si>
  <si>
    <t>FONDO 100(2.6)</t>
  </si>
  <si>
    <t>ARS FUTURO</t>
  </si>
  <si>
    <t>ARS YUNEN</t>
  </si>
  <si>
    <t>ARS PRIMERA</t>
  </si>
  <si>
    <t>ARS MONUMENTAL</t>
  </si>
  <si>
    <t>OTROS APORTES</t>
  </si>
  <si>
    <t>010-390450-6</t>
  </si>
  <si>
    <t>Global Multi-Pharma Dominicana THM, SRL</t>
  </si>
  <si>
    <t xml:space="preserve">REGULATORY </t>
  </si>
  <si>
    <t>JM Distribución, SRL</t>
  </si>
  <si>
    <t>Super Latop Browsing SRL</t>
  </si>
  <si>
    <t>Agua Planeta Azul, SA</t>
  </si>
  <si>
    <t>31 DE MARZO 2025</t>
  </si>
  <si>
    <t>FUENTE FINANCIMIENTO</t>
  </si>
  <si>
    <t>CONCEPTO</t>
  </si>
  <si>
    <t>GASTABLES DEL CARIBE, SRL (GADECA)</t>
  </si>
  <si>
    <t>CABOD, EIRL</t>
  </si>
  <si>
    <t>PAGO FACTURA NCF B1500000084 POR AQUISICION DE UTIL MEDICO SEGUN O/C HSLM-2025-00341.</t>
  </si>
  <si>
    <t>Ejecución de Gastos  VENTA SERVICIOS  2025</t>
  </si>
  <si>
    <t>ARS CMD</t>
  </si>
  <si>
    <t>PAGOS CORRESPONDIENTES AL MES : ABRIL 2025</t>
  </si>
  <si>
    <t xml:space="preserve">ANTARES PHARMA SRL </t>
  </si>
  <si>
    <t xml:space="preserve">DIUCAM GROUP SRL </t>
  </si>
  <si>
    <t>Xavier Vargas, Ingeniería Electromecánica, EIRL</t>
  </si>
  <si>
    <t>HOSPITRONICA, SRL</t>
  </si>
  <si>
    <t>Tu Amigo, SRL</t>
  </si>
  <si>
    <t>Centro de la Sangre y Especialidades, SRL</t>
  </si>
  <si>
    <t xml:space="preserve">CEM CARIBBEAN EQUIPMENT MEDICAL </t>
  </si>
  <si>
    <t>SSP Servisalud Premium, SRL</t>
  </si>
  <si>
    <t>Ventas Diversas Farmaceuticas, SRL</t>
  </si>
  <si>
    <t>Sued &amp; Fargesa, SRL</t>
  </si>
  <si>
    <t>Khris Aus Pharmacy, S.R.L</t>
  </si>
  <si>
    <t>TONER DEPOT MULTISERVICIOS EORG, SRL</t>
  </si>
  <si>
    <t>PAGO NCF B1500008503 SERVCIO DE IMPRESIÓN EN EL MES DE ABRIL 2025 SEGÚN O/C HSLM-2025-00147.</t>
  </si>
  <si>
    <t>P&amp;D RECYCLING, SRL</t>
  </si>
  <si>
    <t>PAGO DE FACT NCF NO. B1500000308, POR SERVICIO DE RECOGIDA DE DESECHOS SOLIDOS, SEGÚN ORDEN DE COMPRA HSLM-2025-00344</t>
  </si>
  <si>
    <t>ALTICE DOMINICANA, SA</t>
  </si>
  <si>
    <t>PAGO DE FACT NCF NO. E4500000014550</t>
  </si>
  <si>
    <t>COLEGIO DOMINICANO DE PROFESIONALES DE ENFERMERIA</t>
  </si>
  <si>
    <t>APORTE ECONOMICO PARA PERSONAL DE ENFERMERIA PARA EL XVIII CONGRESO NACIONAL Y X INTERNACIONAL DE ENFERMERIA QUE SERA CELEBRADO DEL 08 AL 11 DE MARZO 2025</t>
  </si>
  <si>
    <t>PAGO DE FACT E4500000014347, POR SERVICIO DE COMUNICACIÓN PERIODO FACTURADO 23/03/2025 AL 22/04/2025, CUENTA 2666630</t>
  </si>
  <si>
    <t>DELIA JOSEFINA TATIS PERDOMO</t>
  </si>
  <si>
    <t>PAGO DE FACT NCF NO. B1500000524, POR ALQUILER DE CARPA 6*6 EJECUTIVA POR 15 DIAS CALENDARIO, PARA SER UTILIZADA EN EL AREA DE PARQUEO, SEGÚN ORDEN DE COMPRA HSLM-2024-00706</t>
  </si>
  <si>
    <t>LILIAN YOMAYRA ENCARNACION DE MATOS</t>
  </si>
  <si>
    <t>PAGO DE REGENCIA EN PERMISO DE DROGAS Y FARMACIA, PERTENECIENTE AL MES DE ABRIL 2025</t>
  </si>
  <si>
    <t>PAGO DE FACT NCF B1500000145, POR ADQUISICION DE CARRO DE TRANSPORTE PARA AUTOCLAVE DE VAPOR, SEGÚN ORDEN DE COMPRA HSLM-2025-00308</t>
  </si>
  <si>
    <t>CEM CARIBBEAN EQUIPMENT MEDICAL, SRL</t>
  </si>
  <si>
    <t>PAGO DE FACT NCF NO. B1500001345, POR ADQUISICION DE KIT DE CONTROL DE GASES ARTERIALES, SEGÚN ORDEN DE COMPRA HSLM-2025-00167</t>
  </si>
  <si>
    <t>ADLER AMICIS VALDEZ MARMOLEJOS</t>
  </si>
  <si>
    <t>PAGO DE FACT NCF NO. B1500000029, ADQUISICION DE MATERIALES IMPRESOS, SEGÚN ORDEN DE COMPRA HSLM-2025-00320</t>
  </si>
  <si>
    <t>TROPIGAS DOMINICANA, SRL</t>
  </si>
  <si>
    <t>PAGO DE FACT E450000005419, POR ADQUISICION DE GAS LICUADO DE PETROLEO, SEGÚN ORDEN DE COMPRA HSLM-2025-00066</t>
  </si>
  <si>
    <t>JESUS FERMIN MARTINEZ LOPEZ</t>
  </si>
  <si>
    <t>PAGO DE FACT NCF NO. B1500000432, POR SERVICIO DE TRANSPORTE SEGÚN ORDEN DE COMPRA HSLM-2025-000068</t>
  </si>
  <si>
    <t>LEHAIM SUMINISTROS</t>
  </si>
  <si>
    <t>PAGO DE FACT NCF NO. B1500000014, POR ADQUISICION DE SERVILLETA, SEGÚN ORDEN DE COMPRA HSLM-2025-00143</t>
  </si>
  <si>
    <t xml:space="preserve">PAGO DE FACT NO. B1500000013, POR ADQUISICION DE PAPEL HIGIENICO </t>
  </si>
  <si>
    <t>PAGO DE FACT NCF NO. B1500001356, POR ADQUISICION DE VENTILADOR PEDIATRICO NEONATAL, SEGÚN ORDEN DE COMPRA HSLM-2025-0271</t>
  </si>
  <si>
    <t>GESTIONES SANITARIAS &amp; AMBIENTALES, SRL</t>
  </si>
  <si>
    <t>PAGO DE FACT NCF NO B1500000447, POR SERVICIO DDE ANALISIS MICROBIOLOGICO, DE AGUA POTABLE, HSLM-CD-2024-0007</t>
  </si>
  <si>
    <t>PRODUCTOS CANO</t>
  </si>
  <si>
    <t>PAGO DE FACT NCF NO, B1500001319 POR ADQUISICION DE PAN MES DE ABRIL 2025</t>
  </si>
  <si>
    <t>PAGO DE FACT NCF NO B1500001758, POR ADQUISICION DE MATERIALES DE LIMPIEZA SEGÚN ORDEN DE COMPRA HSLM-2025-00318</t>
  </si>
  <si>
    <t>SANDRY GOMEZ RODRIGUEZ</t>
  </si>
  <si>
    <t>PAGO DE FACT NCF NO. B1500000560, POR ADQUISICION DE ALIMENTOS, SEGÚN ORDEN DE COMPRA HSLM-2025-00310</t>
  </si>
  <si>
    <t>PAGO DE FACT NCF NO. B1500000559, POR ADQUISICION DE ALIMENTOS, SEGUN ORDEN DE COMPRA HSLM-2025-00314</t>
  </si>
  <si>
    <t>PAGO DE FACT NCF NO. B1500000561, POR ADQUISICION DE ALIMENTOS, SEGUN ORDEN DE COMPRA HSLM-2025-00297</t>
  </si>
  <si>
    <t>PAGO DE FACT NCF E450000002133 POR SERVICIO DE PERIFERICO PARA EL VITEK COMPACT PARA LA UNIDAD DE MICROBIOLOGIA SEGUN O/C HSLM-2025-00390</t>
  </si>
  <si>
    <t>PAGO DE FACT NCF B1500007637 POR ADQUISICION DE REACTIVOS MAGLUMI E INSUMOS DE LABORATORIO SEGUN O/C HSLM-2025-00275.</t>
  </si>
  <si>
    <t>PAGO DE FACT NCF B1500007671 POR ADQUISICION DE REACTIVOS MAGLUMI E INSUMOS DE LABORATORIO SEGUN O/C HSLM-2025-00381.</t>
  </si>
  <si>
    <t>PAGO DE FACT NCF NO. B1500001034, POR ADQUISICION DE UTIL MEDICO, SEGUN ORDEN DE COMPRA HSLM-2025-00321</t>
  </si>
  <si>
    <t>PAGO FACTURA NCF B1500001036 POR ADQUISICION DE UTILES MEDICOS SEGUN O/C HSLM-2025-00239.</t>
  </si>
  <si>
    <t>PAGO FACTURA NCF E45000000004 POR ADQUISICION DE UTILES MEDICOS SEGUN O/C HSLM-2025-00345.</t>
  </si>
  <si>
    <t>PAGO DE FACT NCF E450000000047 POR ADQUISICION DE DESECHABLES SEGUN O/C HSLM-2024-01073.</t>
  </si>
  <si>
    <t>PAGO FACTURA NCF B1500001048 POR ADQUISICION DE DISCOS DE SENSIBILIDAD SEGUN O/C HSLM-2025-00279.</t>
  </si>
  <si>
    <t>PAGO DE FACT NCF B1500000135 POR ADQUISICION DE MICROONDAS, CAFETERA ELECTRICA Y TELEVISOR SEGUN O/C HSLM-2025-00352.</t>
  </si>
  <si>
    <t>PAGO DE FACT NCF NO. B1500000150, POR ADQUISICION DE MEDICAMENTOS, SEGUN ORDEN DE COMPRA HSLM-2025-00437</t>
  </si>
  <si>
    <t>PAGO FACTURA NCF B150000081 POR ADQUISICION DE UTIL MEDICO SEGUN O/C HSLM-2025-00327.</t>
  </si>
  <si>
    <t>PAGO FACTURA NCF B1500001749 POR ADQUISICION DE MATERIALES DE LIMPIEZA SEGUN O/C HSLM-2025-00318</t>
  </si>
  <si>
    <t>PAGO DE FACT NCF NO. B1500004342, POR ADQUISICION DE UTIL MEDICO, SEGUN ORDEN DE COMPRA HSLM-2025-00440</t>
  </si>
  <si>
    <t>PAGO FACTURA NCF B1500004319 POR ADQUISICION DE UTIL MEDICO SEGUN O/C HSLM-2025-00346.</t>
  </si>
  <si>
    <t>PAGO DE FACT NCF B1500000296 POR ADQUISICION DE GASOIL SEGUN O/C HSLM-2025-00298.</t>
  </si>
  <si>
    <t>PAGO DE FACT NCF B1500000119 POR ADQUISICION DE ALIMENTOS SEGUN O/C HSLM-2025-00306.</t>
  </si>
  <si>
    <t>PAGO DE FACT NCF B1500000598 POR ADQUISICION DE MEDICAMENTOS SEGUN O/C HSLM-2025-00439.</t>
  </si>
  <si>
    <t>PAGO DE FACT NCF B1500000225 POR ADQUISICION DE INSUMOS DE PLOMERIA SEGUN O/C HSLM-2025-00158.</t>
  </si>
  <si>
    <t>PAGO DE FACT NCF B1500000225 POR ADQUISICION DE TANQUE DE GAS GCP REFRIGERANTE R410 DE 25 GLS SEGUN O/C HSLM-2025-00158.</t>
  </si>
  <si>
    <t>PAGO DE FACT NCF NO B1500001674, POR ADQUISICION DE IMPRESOS, SEGUN ORDEN DE COMPRA HSLM-2025-00319</t>
  </si>
  <si>
    <t>PAGO DE FACT NCF NO B1500001681, POR ADQUISICION DE FALDOS DE PAPEL TOALLA DE 6/1, SEGUN ORDEN DE COMPRA HSLM-2025-00349</t>
  </si>
  <si>
    <t>PAGO DE FACT NCF E450000000043 POR ADQUISICION DE RETRACTOR ABDOMINAL BALFOUR SEGUN O/C HSLM-2025-00360.</t>
  </si>
  <si>
    <t>PAGO FACTURA E450000000040 POR ADQUISICION DE PINZAS QUIRURGICAS SEGUN O/C HSLM-2024-01209.</t>
  </si>
  <si>
    <t>PAGO FACTURA NCF E450000000053 POR ADQUISICION DE ESFIGMOMANOMETRO Y LARINGOSCOPIO SEGUN O/C HSLM-2025-00252.</t>
  </si>
  <si>
    <t>PAGO FACTURA NCF B1500001308 POR ADQUISICION DE MEDICAMENTOS SEGUN O/C HSLM-2025-00382.</t>
  </si>
  <si>
    <t>PAGO FACTURA NCF B1500000599 POR ADQUISICION DE MEDICAMENTOS SEGUN O/C HSLM-2025-00422.</t>
  </si>
  <si>
    <t>PAGO FACTURA NCF B1500000601 POR ADQUISICION DE UTILES MEDICOS SEGUN O/C HSLM-2025-00429.</t>
  </si>
  <si>
    <t>PAGO FACTURA NCF B1500000243 POR ADQUISICION DE SUMINISTRO E INSTALACION DE AIRES ACONDICIONADOS SEGUN O/C HSLM-2025-00377.</t>
  </si>
  <si>
    <t>PAGO FACTURA NCF B1500001076 POR ADQUISICION DE UTIL MEDICO SEGUN O/C HSLM-2025-00385.</t>
  </si>
  <si>
    <t>Pago de Fact NO B1500000003, por mantenimiento del area de comedor del 2do piso, segun orden de compra HSLM-2024-00282</t>
  </si>
  <si>
    <t>PAGO FACTURA NCF B1500000151 POR AQUISICION DE UTIL MEDICO SEGUN O/C HSLM-2025-00383.</t>
  </si>
  <si>
    <t>PAGO FACTURA NCF B1500000152 POR ADQUISICION DE UTIL MEDICO SEGUN O/C HSLM-2025-00384.</t>
  </si>
  <si>
    <t>PAGO FACTURA NCF B1500001216 POR ADQUISICION DE MEDICAMENTOS SEGUN O/C HSLM-2025-00438.</t>
  </si>
  <si>
    <t>PAGO FACTURA NCF B15000000052  POR ADQUISICION DE MEDICAMENTO Y UTIL MEDICO SEGUN OC HSLM-2025-00129.</t>
  </si>
  <si>
    <t>PAGO FACTURA NCF B1500000051 POR ADQUISICION DE MEDICAMENTOS SEGUN O/C HSLM-2025-00405.</t>
  </si>
  <si>
    <t>PAGO DE FACT NCF NO. B1500000108, POR ADQUISICION DE MEDICAMENTOS, SEGUN ORDEN DE COMPRA  HSLM-2025-00442</t>
  </si>
  <si>
    <t>PAGO DE FACT NCF NO. B1500000109, POR ADQUISICION DE MEDICAMENTOS, SEGUN ORDEN DE COMPRA HSLM-2025-00441</t>
  </si>
  <si>
    <t>PAGO DE FACT NCF B1500000076 POR ADQISICION DE PUERTAS DE ACERO INOXIDABLE  Y SISTEMA DE CONTROL DE ACCESO COMPLETO SEGUN O/C HSLM-2025-00293.</t>
  </si>
  <si>
    <t>PAGO DE FACT NCF B1500000076 POR SERVICIO DE REPARACION DE DOS TRANZOS PARA PUERTAS E INSTALACION DE TUBULAR INTERNO SEGUN O/C HSLM-2025-00293.</t>
  </si>
  <si>
    <t>PAGO DE FACT NCF B1500000001  POR ADQUISICION DE PINTURAS, MOTAS, BROCHAS Y CLORO PARA CISTERNA SEGUN O/C HSLM-2025-00333.</t>
  </si>
  <si>
    <t>PAGO DE FACT NCF NO B1500000208, POR ADQUISICION DE MEDICAMENTOS Y UTIL MEDICO, SEGUN ORDEN DE COMPRA HSLM-2025-00406</t>
  </si>
  <si>
    <t>PAGO DE FACT NCF NO B1500000220, POR ADQUISICION DE MEDICAMENTOS, SEGUN ORDEN DE COMPRA HSLM-2025-00431</t>
  </si>
  <si>
    <t>PAGO FACTURA NCF B1500000203 POR ADUQUISICION DE UTIL MEDICO SEGUN O/C HSLM-2025-00376.</t>
  </si>
  <si>
    <t>PAGO DE FACT NCF B1500000005 POR SERVICIO DE INSTALACION DE PUERTAS CON SISTEMAS DE ACCESO DIGITAL Y READECUACION SEGUN O/C HSLM-2025-00337.</t>
  </si>
  <si>
    <t>PAGO FACTURA NCF B15000000009 POR ADQUISICION DE ALIMENTOS SEGUN O/C HSLM-2025-00356.</t>
  </si>
  <si>
    <t>HOSANLORE.NOMINA PAGO BONO POR DESEMPEÑO CORRESPONDIENTE AL AÑO 2024</t>
  </si>
  <si>
    <t>HOSANLORE.NOMINA SUELDO PERSONAL DE VIGILANCIA MAYO 2025</t>
  </si>
  <si>
    <t>HOSANLORE.NOMINA SUELDO FIJO MAYO 2025</t>
  </si>
  <si>
    <t>HOSANLORE.NOMINA SUELDO TEMPORAL MAYO 2025</t>
  </si>
  <si>
    <t>PLASTIFAR,SA</t>
  </si>
  <si>
    <t>Eligium, EIRL</t>
  </si>
  <si>
    <t>Smart Supply Medical Dominicana (SMARTMEDOM),  SRL</t>
  </si>
  <si>
    <t>AMMB Importacion, SRL</t>
  </si>
  <si>
    <t>BAAM &amp; Asociados, SRL</t>
  </si>
  <si>
    <t>Sonicru, S.R.L.</t>
  </si>
  <si>
    <t>Galed Supplies Med, SRL</t>
  </si>
  <si>
    <t>Diucam Group SRL</t>
  </si>
  <si>
    <t>MAYO 2025</t>
  </si>
  <si>
    <t>WELINTHON PEREZ RAMIREZ</t>
  </si>
  <si>
    <t>PAGO ESTUDIOS A PACIENTE INTERNO DARIANNY PEREZ</t>
  </si>
  <si>
    <t>RAMON DE LEON REYES</t>
  </si>
  <si>
    <t>PAGO POR SERVICIO DE REPARACION DE PUERTA ENROLLABLE DE PARILLA  DE DESAGUE DEL HOSPITAL</t>
  </si>
  <si>
    <t>FRANKELY MOREL FROMETA</t>
  </si>
  <si>
    <t>PAGO POR SERVICIO DE TRANSPORTE DE LA AMBULANCIA</t>
  </si>
  <si>
    <t>FREDDY OSCAR RODRIGUEZ RIVAS</t>
  </si>
  <si>
    <t>COLABORACION PARA CAVAR HOYO Y CERTIFICACION DE ACTAS DE DEFUNCION</t>
  </si>
  <si>
    <t>RAMON EUCLIDES ALVAREZ VILLILO</t>
  </si>
  <si>
    <t>COLABORACION PARA EL ALQUILER DE CRANEOTOMO CON DOS PUNTAS, PARA EL PACIENTE ROSENDI LUIS POR TRAUMATISMO CRANEONCEFALICO SEVERO</t>
  </si>
  <si>
    <t>LIBRAMIENTO</t>
  </si>
  <si>
    <t>SINDICATO NACIONAL DE TRABAJADORES DE ENFERMERIA</t>
  </si>
  <si>
    <t>SALDO COLABORACION PARA ACTIVIDAD DEL DIA DEL ENFERMERO</t>
  </si>
  <si>
    <t>DESTREZA COMERCIAL SRL</t>
  </si>
  <si>
    <t>PAGO NCF B1500000060 ADQUISCION DE MEDICAMENTOS SEGÚN O/C HSLM-2025-00414.</t>
  </si>
  <si>
    <t>IV BIODESINFECCION SRL</t>
  </si>
  <si>
    <t>PAGO NCF B1500000285 SERVICIO DE DESINFECCION AREA DE QUIROFANO DE INFECTOLOGIA, UCI DE ADULTOS 3ERA PLANTA Y AREA DE HOSPITALIZACION SEGÚN O/C HSLM-2025-00407.</t>
  </si>
  <si>
    <t>PAGO NCF B1500000286 SERVICIO DE DESINFECCION AREA DE UCIN 1 SEGÚN O/C HSLM-2025-00418</t>
  </si>
  <si>
    <t>PAGO NCF B1500000001 UTILES MEDICOS E INSPIROMETRO SEGÚN O/C HSLM-2025-00379.</t>
  </si>
  <si>
    <t xml:space="preserve">FARMACIA RUTH SRL </t>
  </si>
  <si>
    <t>PAGO NCF B1500000278 ADQUISICION DE MEDICAMENTOS SEGÚN O/C 1896</t>
  </si>
  <si>
    <t>ALTICE DOMINICANA S.A</t>
  </si>
  <si>
    <t>PAGO NCF E450000015174 SERVICIO TELEFONICO PERIODO FACTURADO 23/04/2025 AL 22/05/2025 CUENTA 2666630</t>
  </si>
  <si>
    <t>LABORATORIO CLINICO LICDA PATRIA M RIVAS SRL</t>
  </si>
  <si>
    <t>PAGO NCF E450000000023 SERVICIO DE ESTUDIOS ESPECIALIZADOS SEGÚN O/C HSLM-2025-00312</t>
  </si>
  <si>
    <t xml:space="preserve">AYUNTAMIENTO SANTO DOMINGO ESTE </t>
  </si>
  <si>
    <t>PAGO NCF B1500055810 SERVICIO DE RECOGIDA DE DESECHOS SOLIDOS EN EL MES DE MAYO 2025.</t>
  </si>
  <si>
    <t xml:space="preserve">JESUS FERMIN MARTINEZ LOPEZ </t>
  </si>
  <si>
    <t>PAGO NCF B150000435 SERVICIO DE TRANSPORTE SEGÚN O/C HSLM-HSLM-2025-00068.</t>
  </si>
  <si>
    <t>TONER DEPOT MULTISERVICIOS EORG SRL</t>
  </si>
  <si>
    <t>PAGO NCF E450000000023 SERVCIO DE IMPRESIÓN EN EL MES DE MAYO 2025 SEGÚN O/C HSLM-2025-00147</t>
  </si>
  <si>
    <t>TROPIGAS DOMINICANA SRL</t>
  </si>
  <si>
    <t>PAGO NCF E450000005434 ADQUISICION DE GAS LICUADO DE PETROLEO SEGÚN ORDEN DE COMPRA HSLM-2025-00066.</t>
  </si>
  <si>
    <t>PAGO NCF B1500000288 SERVICIO DE DESINFECCION AREA DE UCIN 2 SEGÚN O/C HSLM-2025-00455</t>
  </si>
  <si>
    <t>SUED &amp; FARGESA, SRL</t>
  </si>
  <si>
    <t>PAGO NCF E450000002122 POR ADQUISICION DE UN SISTEMA AUTOMATIZADO DE IDENTIFICACION MICROBIANA PARA SER UTILIZADO POR EL AREA DE LABORATORIOO CLINICO, SEGÚN ORDEN DE COMPRA HSLM-2025-00395</t>
  </si>
  <si>
    <t>COLEGIO MEDICO DOMINICANO</t>
  </si>
  <si>
    <t>COLABORACION PARA EL REFRIGERIO DE LA NOCHE INAUGURAL DE LA VIII JORNADA CIENTIFICA, EVIDENCIA E INNOVACION PARA LA SALUD MATERNA INFANTIL, QUE SE REALIZARA EN EL COLEGIO MEDICO DOMINICANO, EL MIERCOLES 28/05/2025, SEGÚN DOCUMENTACION ANEXA</t>
  </si>
  <si>
    <t>INVERSIONES FH  SRL</t>
  </si>
  <si>
    <t>PAGO NCF B15000001495 ADQUISICION DE TICKETS DE COMBUSTIBLE SEGÚN O/C HSLM-2025-00423</t>
  </si>
  <si>
    <t>WEPA TOURS, SRL</t>
  </si>
  <si>
    <t>COLABORACION PARA LA JORNADA EDUCATIVA DEDICADA AL DIA DE LAS ENFERMERAS, A REALIZARSE DESDE EL 14 AL 16 DE MAYO 2025</t>
  </si>
  <si>
    <t xml:space="preserve">FARMACO QUIMICA NACIONAL S.A </t>
  </si>
  <si>
    <t>FARMACO QUIMICA NACIONAL S.A</t>
  </si>
  <si>
    <t>JF2H SUPLIDORES DIVERSOS</t>
  </si>
  <si>
    <t>UTILIZADA EN ABRIL 2025</t>
  </si>
  <si>
    <t>UTILIZADA EN ABRIL 2026</t>
  </si>
  <si>
    <t>TURINTER</t>
  </si>
  <si>
    <t>DELMIRA GARCIA</t>
  </si>
  <si>
    <t>NELSON YNFANTE VELAZQUEZ</t>
  </si>
  <si>
    <t>RUDDY SEGURA</t>
  </si>
  <si>
    <t>ALEXANDER MENDEZ CONTRERAS</t>
  </si>
  <si>
    <t>OLEGARIO GUERRERO</t>
  </si>
  <si>
    <t>OVIDIO DE JESUS DURAN CLEMENTE</t>
  </si>
  <si>
    <t>MICHEL ALEXANDER MELO</t>
  </si>
  <si>
    <t>MIGUELINA VASQUEZ CASTILLO</t>
  </si>
  <si>
    <t>CORPORACION DEL ACUEDUCTO Y ALCANTARILLADO DE SANTO DOMINGO</t>
  </si>
  <si>
    <t>BIO NOVA, SRL</t>
  </si>
  <si>
    <t>Dumas Pharmaceuticals, S.R.L.</t>
  </si>
  <si>
    <t>Industrias Nigua, S.A</t>
  </si>
  <si>
    <t>CEM Caribbean Equipment Medical, SRL</t>
  </si>
  <si>
    <t>JEAN CARLOS BASULTO LOPEZ</t>
  </si>
  <si>
    <t>JT Investdent, SRL</t>
  </si>
  <si>
    <t>Almacenes Nacionales Forever, SRL</t>
  </si>
  <si>
    <t>PAGO DE FACT NCF E450000000834 POR ADQUISICION DE UTILES MEDICOS SEGUN O/C HSLM-2025-00387.</t>
  </si>
  <si>
    <t>PAGO DE FACT NCF B1500000123 POR SERVICIO DE ROTACION FULL  COLOR Y ADQUISICION DE KIT DE INTERCOM SEGUN O/C HSLM-2025-00328.</t>
  </si>
  <si>
    <t>PAGO DE FACT NCF B1500000119 POR ADQUISICION DE ETIQUETAS DE LABEL SEGUN O/C HSLM-2025-00317.</t>
  </si>
  <si>
    <t>PAGO DE FACT NCF B1500000119 POR ADQUISICION DE SILLON RECLINABLE, SELLADORA E IMPRESORA DE ETIQUETAS ZEBRA SEGUN O/C HSLM-2025-00317.</t>
  </si>
  <si>
    <t>PAGO DE FACT NCF B1500000508 POR ADQUISICION DE INSUMOS FERRETEROS SEGUN O/C HSLM-2025-00243.</t>
  </si>
  <si>
    <t>PAGO DE FACT NCF B1500000508 POR ADQUISICION DE EXTRACTOR DE AIRE, PULIDORA, ESCALERA, TALADRO Y ABANICO SEGUN O/C HSLM-2025-00243.</t>
  </si>
  <si>
    <t>PAGO DE FACT NCF B1500000247 POR ADQUISICION DE AIRE ACONDICIONADO GREEN INVERTER 24K SEGUN O/C HSLM-2025-00444.</t>
  </si>
  <si>
    <t>PAGO DE FACT E450000006913 POR SERVICIO DE AGUA CORRESPONDIENTE AL MES DE MAYO 2025.</t>
  </si>
  <si>
    <t>PAGO DE FACT NCF B1500016743 POR ADQUISICION DE LISADOR Y DILUENTES SEGUN O/C HSLM-2025-00374.</t>
  </si>
  <si>
    <t>PAGO DE FACT NCF B1500001130 POR ADQUISICION DE JABON LIQUIDO ANTISEPTICO Y MEROPENEM 1G SEGUN O/C HSLM-2025-00425.</t>
  </si>
  <si>
    <t>PAGO DE FACT NCF B1500000244 POR ADQUISICION DE CHILLER MODULAR SAMSUNG 15 TON SEGUN O/C HSLM-2025-00409.</t>
  </si>
  <si>
    <t>PAGO DE FACT NCF B1500000246 POR ADQUISICION DE CHILLER MODULAR SAMSUNG DE15 TON, SEGUN O/C HSLM-2025-00396.</t>
  </si>
  <si>
    <t>PAGO DE FACT NCF B1500000043 POR ADQUISICION DE TANQUE DE OXIGENO DE 685 LITROS SEGUN O/C HSLM-2025-00378.</t>
  </si>
  <si>
    <t>PAGO DE FACT NCF B1500001763 POR ADQUISICION DE INSUMOS DE LAVANDERIA SEGUN O/C HSLM-2025-00318.</t>
  </si>
  <si>
    <t>PAGO DE FACT NCF B1500000012 POR ADQUISICION DE GALLETAS DULCES, JUGOS Y CURITAS SEGUN O/C HSLM-2025-00458.</t>
  </si>
  <si>
    <t>PAGO DE FACT NCF B1500001699 POR ADQUISICION DE MATERIAL IMPRESO SEGUN O/C HSLM-2025-00473.</t>
  </si>
  <si>
    <t>PAGO DE FACT NCF B1500000017 POR ADQUISICION DE REACTIVOS PARA MAQUINA DE GASOMETRO SEGUN O/C HSLM-2024-00380.</t>
  </si>
  <si>
    <t>PAGO DE FACT NCF B1500000125 POR ADQUISICION DE MATERIAL DE LIMPIEZA SEGUN O/C HSLM-2025-00404.</t>
  </si>
  <si>
    <t>PAGO DE FACT NCF B1500001060 POR ADQUISICION DE REACTIVOS E INSUMOS DE LABORATORIO SEGUN O/C HSLM-2025-00389.</t>
  </si>
  <si>
    <t>PAGO DE FACT NCF B1500000295 POR ADQUISICION DE DESECHABLES SEGUN O/C HSLM-2025-00180.</t>
  </si>
  <si>
    <t>PAGO DE FACT NCF E450000000515 POR ADQUISICION DE DESECHABLES SEGUN O/C HSLM-2025-00443.</t>
  </si>
  <si>
    <t>PAGO DE FACT NCF B1500001400 POR ADQUISICION DE PAPEL TERMICO SEGUN O/C HSLM-2025-00492.</t>
  </si>
  <si>
    <t>PAGO FACTURA NCF B1500000613 POR ADQUISICION DE MEDICAMENTOS SEGUN O/C HSLM-2025-00496.</t>
  </si>
  <si>
    <t>PAGO FACTURA NCF B1500000608 POR ADQUISICION DE MEDICAMENTOS SEGUN O/C HSLM-2025-00450.</t>
  </si>
  <si>
    <t>PAGO DE FACT NCF B1500002939 POR ADQUISICION DE MANTAS TERMICAS SEGUN O/C HSLM-2025-00051.</t>
  </si>
  <si>
    <t>PAGO DE FACT NCF B1500000247 POR ADQUISICION DE LIMAS ROTATORIA SEGUN O/C HSLM-2025-00420.</t>
  </si>
  <si>
    <t>PAGO DE FACT NCF E450000000020 POR ADQUISICION DE UTILES MEDICOS SEGUN O/C HSLM-2025-00448.</t>
  </si>
  <si>
    <t>PAGO DE FACT NCF E450000000018 POR ADQUISICION DE UTILES MEDICOS SEGUN O/C HSLM-2025-00493.</t>
  </si>
  <si>
    <t>PAGO DE FACT NCF B1500001160 POR ADQUISICION DE MEDICAMENTOS SEGUN O/C HSLM-2025-00474.</t>
  </si>
  <si>
    <t>PAGO DE FACT NCF E450000000017 POR ADQUISICION DE UTILES MEDICOS SEGUN O/C HSLM-2025-00470.</t>
  </si>
  <si>
    <t>PAGO DE FACT NCF B1500000047 POR ADQUISICION DE PINTURAS, MOTAS Y PORTAROLO SEGUN O/C HSLM-2025-00502.</t>
  </si>
  <si>
    <t>PAGO DE FACT NCF B1500000224 POR ADQUISICION DE CIRCUITOS DE VENTILACION NEONATAL SEGUN O/C HSLM-2025-00476.</t>
  </si>
  <si>
    <t>PAGO DE FACT NCF E450000000012 POR ADQUISICION DE UTILES MEDICOS Y MEDICAMENTOS SEGUN O/C HSLM-2025-00449.</t>
  </si>
  <si>
    <t>2028</t>
  </si>
  <si>
    <t>2030</t>
  </si>
  <si>
    <t>2034</t>
  </si>
  <si>
    <t>2038</t>
  </si>
  <si>
    <t>2042</t>
  </si>
  <si>
    <t>2046</t>
  </si>
  <si>
    <t>2052</t>
  </si>
  <si>
    <t>2056</t>
  </si>
  <si>
    <t>2063</t>
  </si>
  <si>
    <t>2067</t>
  </si>
  <si>
    <t>2071</t>
  </si>
  <si>
    <t>2075</t>
  </si>
  <si>
    <t>2080</t>
  </si>
  <si>
    <t>2084</t>
  </si>
  <si>
    <t>2088</t>
  </si>
  <si>
    <t>2106</t>
  </si>
  <si>
    <t>2110</t>
  </si>
  <si>
    <t>2115</t>
  </si>
  <si>
    <t>2119</t>
  </si>
  <si>
    <t>2125</t>
  </si>
  <si>
    <t>2129</t>
  </si>
  <si>
    <t>2133</t>
  </si>
  <si>
    <t>2137</t>
  </si>
  <si>
    <t>2141</t>
  </si>
  <si>
    <t>2147</t>
  </si>
  <si>
    <t>2151</t>
  </si>
  <si>
    <t>2155</t>
  </si>
  <si>
    <t>2159</t>
  </si>
  <si>
    <t>2163</t>
  </si>
  <si>
    <t>2167</t>
  </si>
  <si>
    <t>2171</t>
  </si>
  <si>
    <t>2175</t>
  </si>
  <si>
    <t>2179</t>
  </si>
  <si>
    <t>PAGO POR SERVICIO DE CAMBIO E INSTALACION DE PLAFONES DE DIFERENTES AREAS DE ESTE HOSPITAL, SEGÚN ORDEN DE COMPRA 0023</t>
  </si>
  <si>
    <t>PAGO POR SERVICIO DE TRANSPORTE DE LA AMBULANCIA CORRESPONDIENTE AL MES DE MAYO 2025</t>
  </si>
  <si>
    <t>PAGO DE FACT NCF B1100000042 POR SERVICIO DE PINTURAS DE COLUMNAS Y PAREDES EXTERIOR DE ESTE HOSPITAL.</t>
  </si>
  <si>
    <t>PAGO POR EL SERVICIO DE JARDINERIA Y MANTENIMIENTO DE AREAS VERDES DE ESTE HOSPITAL</t>
  </si>
  <si>
    <t>PAGO POR EL SERVICIO DE LIMPIEZA Y CLORIFICACION DE LAS CISTERNAS DE ESTE HOSPITAL</t>
  </si>
  <si>
    <t>PAGO POR EL SERVICIO DE PINTADO DE LAS DIFERENTES AREAS DEL HOSPITAL.</t>
  </si>
  <si>
    <t>REPOSCION DE CAJA CHICA SEGÚN RECIBOS 40342 AL 40401.</t>
  </si>
  <si>
    <t>PAGO NCF B1100000037 FABRICACION DE MESA PARA SOPORTE DE EQUIPO DE PATOLOGIA.</t>
  </si>
  <si>
    <t>PAGO NCF B150000104 ADQUISICION DE TELA PARA FABRICAR COLCHAS, SEGÚN ORDEN DE COMPRA HSLM-2025-00412</t>
  </si>
  <si>
    <t>NULO</t>
  </si>
  <si>
    <t>CAFETERIA</t>
  </si>
  <si>
    <t>DETALLE OBLIGACIONES CONTRAÍDAS PENDIENTES AL 31 DE MAYO 2025</t>
  </si>
  <si>
    <t>31 DE MAYO 2025</t>
  </si>
  <si>
    <r>
      <t xml:space="preserve">Establecimiento:      HOSPITAL MATERNO INFANTIL SAN LORENZO DE LOS MINA    Mes:   MAYO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</si>
  <si>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FEBRERO, MARZO Y ABRIL 2025, UCE</t>
  </si>
  <si>
    <t>INGRESOS POR EXTRANJEROS</t>
  </si>
  <si>
    <t>ODONTOLOGIA</t>
  </si>
  <si>
    <t>ARS MAPHRE</t>
  </si>
  <si>
    <t>ARS SENASA SUBSIDIADO</t>
  </si>
  <si>
    <t>ARS SENASA CONTRIBUTIVO</t>
  </si>
  <si>
    <t>ARS META SALUD</t>
  </si>
  <si>
    <t>SENASA PENSIONADO</t>
  </si>
  <si>
    <t>ARS RESERVAS</t>
  </si>
  <si>
    <t>Atenciones a Pacientes Extranjeros</t>
  </si>
  <si>
    <t>01-05-2025 AL 31-05-2025</t>
  </si>
  <si>
    <t>DESDE FEBRERO- ABRIL 2025</t>
  </si>
  <si>
    <t xml:space="preserve">SENASA(POR ATENCION ODONTOGICA) </t>
  </si>
  <si>
    <t>ARS SENASA PENSIONADO</t>
  </si>
  <si>
    <t>EXTRANJEROS</t>
  </si>
  <si>
    <t>Dumas Pharmaceuticals, SRL</t>
  </si>
  <si>
    <t xml:space="preserve">WILSON FRIAS </t>
  </si>
  <si>
    <t>Empresa Rotricomercial, SRL</t>
  </si>
  <si>
    <t>SUPLIMED,SRL</t>
  </si>
  <si>
    <t>INDUTRIAS NIGUA SA</t>
  </si>
  <si>
    <t xml:space="preserve">CAPEGAR  SRL </t>
  </si>
  <si>
    <t>JBW LEGER INGENIEROS SRL</t>
  </si>
  <si>
    <t>30 DE ABRIL 2025</t>
  </si>
  <si>
    <t>Bajo las funciones que nos asisten certificamos que el valor de los ingresos percibidos durante el mes de marzo de 2025, correspondieron a un monto de RD$108,409,804.19</t>
  </si>
  <si>
    <t>Dado a los 31/05/2025</t>
  </si>
  <si>
    <t xml:space="preserve">RELACIÓN DE ORDENES DE COMPRAS DE BIENES Y SERVICIOS EFECTUADAS. </t>
  </si>
  <si>
    <r>
      <t xml:space="preserve">                          </t>
    </r>
    <r>
      <rPr>
        <b/>
        <sz val="14"/>
        <color theme="1"/>
        <rFont val="Calibri"/>
        <family val="2"/>
        <scheme val="minor"/>
      </rPr>
      <t xml:space="preserve">ESTABLECIMIENTO:    HOSPITAL MATERNO INFANTIL SAN LORENZO DE LOS MINA              </t>
    </r>
    <r>
      <rPr>
        <b/>
        <sz val="12"/>
        <color theme="1"/>
        <rFont val="Calibri"/>
        <family val="2"/>
        <scheme val="minor"/>
      </rPr>
      <t>REGION_0  MES DE MAYO 2025</t>
    </r>
  </si>
  <si>
    <t>Fecha</t>
  </si>
  <si>
    <t>#  Orden de Compra o Servicios</t>
  </si>
  <si>
    <t># DE EXPEDIENTE(PROCESO CELEBRADO)</t>
  </si>
  <si>
    <t>No. De Factura Fiscal NCF</t>
  </si>
  <si>
    <t>Fuente. Financ      (FR-VS)</t>
  </si>
  <si>
    <t>Beneficiario</t>
  </si>
  <si>
    <t>Rubro</t>
  </si>
  <si>
    <t>No. Cta. Objetal del Gasto</t>
  </si>
  <si>
    <t>Valor</t>
  </si>
  <si>
    <t>Status del proceso</t>
  </si>
  <si>
    <t>solo observar cuando se presentas esos procesos</t>
  </si>
  <si>
    <t>HSML-2025-00421</t>
  </si>
  <si>
    <t>HSLM-DAF-CD-2025-0339</t>
  </si>
  <si>
    <t>VS/FG</t>
  </si>
  <si>
    <t>44120000</t>
  </si>
  <si>
    <t>2.2.7.1.01</t>
  </si>
  <si>
    <t>Adjudicado</t>
  </si>
  <si>
    <t>Analisis de oferta</t>
  </si>
  <si>
    <t>HSLM-DAF-CM-2025-0108</t>
  </si>
  <si>
    <t>42290000</t>
  </si>
  <si>
    <t>Evaluación</t>
  </si>
  <si>
    <t>HSLM-DAF-CM-2025-0109</t>
  </si>
  <si>
    <t>HSML-2025-00422</t>
  </si>
  <si>
    <t>HSLM-DAF-CD-2025-0340</t>
  </si>
  <si>
    <t>Baucomer, SRL</t>
  </si>
  <si>
    <t>51160000</t>
  </si>
  <si>
    <t>2.6.3.2.01</t>
  </si>
  <si>
    <t>HSML-2025-00447</t>
  </si>
  <si>
    <t>HSLM-DAF-CM-2025-0110</t>
  </si>
  <si>
    <t>30170000</t>
  </si>
  <si>
    <t>HSML-2025-00423</t>
  </si>
  <si>
    <t>HSLM-DAF-CD-2025-0341</t>
  </si>
  <si>
    <t>INVERSIONES FH, SRL</t>
  </si>
  <si>
    <t>15100000</t>
  </si>
  <si>
    <t>HSML-2025-00425</t>
  </si>
  <si>
    <t>HSLM-DAF-CD-2025-0342</t>
  </si>
  <si>
    <t>51100000</t>
  </si>
  <si>
    <t>2.6.1.1.01</t>
  </si>
  <si>
    <t>HSML-2025-00452</t>
  </si>
  <si>
    <t>HSLM-DAF-CM-2025-0111</t>
  </si>
  <si>
    <t>P&amp;D Recycling, SRL</t>
  </si>
  <si>
    <t>76120000</t>
  </si>
  <si>
    <t>2.6.3.1.01</t>
  </si>
  <si>
    <t>HSML-2025-00429</t>
  </si>
  <si>
    <t>HSLM-DAF-CD-2025-0343</t>
  </si>
  <si>
    <t>42140000</t>
  </si>
  <si>
    <t>2.3.1.1.01</t>
  </si>
  <si>
    <t>HSML-2025-00430</t>
  </si>
  <si>
    <t>HSLM-DAF-CD-2025-0344</t>
  </si>
  <si>
    <t>90100000</t>
  </si>
  <si>
    <t>2.3.7.1.01</t>
  </si>
  <si>
    <t>HSML-2025-00431</t>
  </si>
  <si>
    <t>HSLM-DAF-CD-2025-0346</t>
  </si>
  <si>
    <t>51140000</t>
  </si>
  <si>
    <t>HSML-2025-00469</t>
  </si>
  <si>
    <t>HSLM-DAF-CD-2025-0345</t>
  </si>
  <si>
    <t>osorio integraciones</t>
  </si>
  <si>
    <t>46170000</t>
  </si>
  <si>
    <t>HSML-2025-00433</t>
  </si>
  <si>
    <t>HSLM-DAF-CD-2025-0348</t>
  </si>
  <si>
    <t>42180000</t>
  </si>
  <si>
    <t>2.3.9.3.01</t>
  </si>
  <si>
    <t>HSML-2025-00432</t>
  </si>
  <si>
    <t>HSLM-DAF-CD-2025-0347</t>
  </si>
  <si>
    <t>42170000</t>
  </si>
  <si>
    <t>2.2.1.8.01</t>
  </si>
  <si>
    <t>HSML-2025-00435</t>
  </si>
  <si>
    <t>HSLM-DAF-CD-2025-0349</t>
  </si>
  <si>
    <t>2.6.1.3.01</t>
  </si>
  <si>
    <t>HSML-2025-00438</t>
  </si>
  <si>
    <t>HSLM-DAF-CD-2025-0350</t>
  </si>
  <si>
    <t>2.2.2.2.01</t>
  </si>
  <si>
    <t>HSML-2025-00437</t>
  </si>
  <si>
    <t>HSLM-DAF-CD-2025-0351</t>
  </si>
  <si>
    <t>2.3.9.9.05</t>
  </si>
  <si>
    <t>HSML-2025-00439</t>
  </si>
  <si>
    <t>HSLM-DAF-CD-2025-0352</t>
  </si>
  <si>
    <t>HSML-2025-00500</t>
  </si>
  <si>
    <t>HSLM-DAF-CD-2025-0353</t>
  </si>
  <si>
    <t>pasofri</t>
  </si>
  <si>
    <t>42270000</t>
  </si>
  <si>
    <t>Abierto</t>
  </si>
  <si>
    <t>HSML-2025-00440</t>
  </si>
  <si>
    <t>HSLM-DAF-CD-2025-0354</t>
  </si>
  <si>
    <t>42130000</t>
  </si>
  <si>
    <t>HSML-2025-00446</t>
  </si>
  <si>
    <t>HSLM-DAF-CD-2025-0355</t>
  </si>
  <si>
    <t>56100000</t>
  </si>
  <si>
    <t>HSML-2025-00445</t>
  </si>
  <si>
    <t>HSLM-DAF-CD-2025-0356</t>
  </si>
  <si>
    <t>56110000</t>
  </si>
  <si>
    <t>2.3.4.1.01</t>
  </si>
  <si>
    <t>HSML-2025-00441</t>
  </si>
  <si>
    <t>HSLM-DAF-CD-2025-0357</t>
  </si>
  <si>
    <t>AMMB Importación, SRL</t>
  </si>
  <si>
    <t>2.3.9.8.02</t>
  </si>
  <si>
    <t>HSML-2025-00442</t>
  </si>
  <si>
    <t>HSLM-DAF-CD-2025-0358</t>
  </si>
  <si>
    <t>HSML-2025-00444</t>
  </si>
  <si>
    <t>HSLM-DAF-CD-2025-0359</t>
  </si>
  <si>
    <t>40100000</t>
  </si>
  <si>
    <t>HSML-2025-00468</t>
  </si>
  <si>
    <t>HSLM-DAF-CM-2025-0112</t>
  </si>
  <si>
    <t>livao farmaceurica</t>
  </si>
  <si>
    <t>39120000</t>
  </si>
  <si>
    <t>2.3.7.2.06</t>
  </si>
  <si>
    <t>HSML-2025-00466</t>
  </si>
  <si>
    <t>HSLM-DAF-CM-2025-0113</t>
  </si>
  <si>
    <t>81110000</t>
  </si>
  <si>
    <t>HSML-2025-00472</t>
  </si>
  <si>
    <t>HSLM-DAF-CM-2025-0115</t>
  </si>
  <si>
    <t>52130000</t>
  </si>
  <si>
    <t>HSML-2025-00449</t>
  </si>
  <si>
    <t>HSLM-DAF-CD-2025-0360</t>
  </si>
  <si>
    <t>41100000</t>
  </si>
  <si>
    <t>HSML-2025-00485</t>
  </si>
  <si>
    <t>HSLM-DAF-CM-2025-0114</t>
  </si>
  <si>
    <t>HSML-2025-00465</t>
  </si>
  <si>
    <t>HSLM-DAF-CD-2025-0361</t>
  </si>
  <si>
    <t>82120000</t>
  </si>
  <si>
    <t>HSML-2025-00483</t>
  </si>
  <si>
    <t>HSLM-DAF-CM-2025-0116</t>
  </si>
  <si>
    <t>Adler Amicis Valdez Marmolejos</t>
  </si>
  <si>
    <t>55120000</t>
  </si>
  <si>
    <t>HSML-2025-00448</t>
  </si>
  <si>
    <t>HSLM-DAF-CD-2025-0362</t>
  </si>
  <si>
    <t>2.3.9.1.01</t>
  </si>
  <si>
    <t>HSML-2025-00454</t>
  </si>
  <si>
    <t>HSLM-DAF-CD-2025-0363</t>
  </si>
  <si>
    <t>HSML-2025-00450</t>
  </si>
  <si>
    <t>HSLM-DAF-CD-2025-0364</t>
  </si>
  <si>
    <t>51150000</t>
  </si>
  <si>
    <t>HSML-2025-00461</t>
  </si>
  <si>
    <t>HSLM-DAF-CD-2025-0365</t>
  </si>
  <si>
    <t>Planeta Azul, SA</t>
  </si>
  <si>
    <t>50200000</t>
  </si>
  <si>
    <t>HSML-2025-00462</t>
  </si>
  <si>
    <t>HSLM-DAF-CD-2025-0366</t>
  </si>
  <si>
    <t>Soluciones de Servicios y Técnicas Altadis, SRL</t>
  </si>
  <si>
    <t>47120000</t>
  </si>
  <si>
    <t>HSML-2025-00455</t>
  </si>
  <si>
    <t>HSLM-DAF-CD-2025-0367</t>
  </si>
  <si>
    <t>I.V. Biodesinfección, SRL</t>
  </si>
  <si>
    <t>76100000</t>
  </si>
  <si>
    <t>HSML-2025-00453</t>
  </si>
  <si>
    <t>HSLM-DAF-CD-2025-0369</t>
  </si>
  <si>
    <t>Mantenergia Electrica y Abastecimientos, SR</t>
  </si>
  <si>
    <t>73150000</t>
  </si>
  <si>
    <t>HSML-2025-00467</t>
  </si>
  <si>
    <t>HSLM-DAF-CD-2025-0368</t>
  </si>
  <si>
    <t>HSML-2025-00451</t>
  </si>
  <si>
    <t>HSLM-DAF-CD-2025-0370</t>
  </si>
  <si>
    <t>51190000</t>
  </si>
  <si>
    <t>HSML-2025-00502</t>
  </si>
  <si>
    <t>HSLM-DAF-CM-2025-0117</t>
  </si>
  <si>
    <t>31210000</t>
  </si>
  <si>
    <t>2.6.1.9.01</t>
  </si>
  <si>
    <t>HSML-2025-00484</t>
  </si>
  <si>
    <t>HSLM-DAF-CM-2025-0118</t>
  </si>
  <si>
    <t>MATERLEX Servicios de Materiales Gastables, SRL</t>
  </si>
  <si>
    <t>14110000</t>
  </si>
  <si>
    <t>2.3.3.2.01</t>
  </si>
  <si>
    <t>HSML-2025-00457</t>
  </si>
  <si>
    <t>HSLM-DAF-CD-2025-0371</t>
  </si>
  <si>
    <t>HSML-2025-00456</t>
  </si>
  <si>
    <t>HSLM-DAF-CD-2025-0372</t>
  </si>
  <si>
    <t>HSML-2025-00460</t>
  </si>
  <si>
    <t>HSLM-DAF-CD-2025-0374</t>
  </si>
  <si>
    <t>2.6.2.1.01</t>
  </si>
  <si>
    <t>HSML-2025-00459</t>
  </si>
  <si>
    <t>HSLM-DAF-CD-2025-0373</t>
  </si>
  <si>
    <t>HSML-2025-00458</t>
  </si>
  <si>
    <t>HSLM-DAF-CD-2025-0376</t>
  </si>
  <si>
    <t>2.3.7.2.03</t>
  </si>
  <si>
    <t>HSML-2025-00505</t>
  </si>
  <si>
    <t>HSLM-DAF-CM-2025-0119</t>
  </si>
  <si>
    <t xml:space="preserve">Wilson  Frias </t>
  </si>
  <si>
    <t>46180000</t>
  </si>
  <si>
    <t>HSML-2025-00463</t>
  </si>
  <si>
    <t>HSLM-DAF-CD-2025-0377</t>
  </si>
  <si>
    <t>41120000</t>
  </si>
  <si>
    <t>HSML-2025-00489</t>
  </si>
  <si>
    <t>HSLM-DAF-CM-2025-0120</t>
  </si>
  <si>
    <t>Lambda Diagnósticos, SRL</t>
  </si>
  <si>
    <t>41110000</t>
  </si>
  <si>
    <t>HSML-2025-00490</t>
  </si>
  <si>
    <t>HSLM-DAF-CM-2025-0121</t>
  </si>
  <si>
    <t>HSML-2025-00494</t>
  </si>
  <si>
    <t>HSLM-DAF-CM-2025-0122</t>
  </si>
  <si>
    <t>HSML-2025-00501</t>
  </si>
  <si>
    <t>HSLM-DAF-CD-2025-0378</t>
  </si>
  <si>
    <t>Farmaceutica Dalmasi (FARMADAL), SRL</t>
  </si>
  <si>
    <t>HSML-2025-00497</t>
  </si>
  <si>
    <t>HSLM-DAF-CM-2025-0125</t>
  </si>
  <si>
    <t>HSML-2025-00481</t>
  </si>
  <si>
    <t>HSLM-DAF-CD-2025-0379</t>
  </si>
  <si>
    <t>HSML-2025-00470</t>
  </si>
  <si>
    <t>HSLM-DAF-CD-2025-0382</t>
  </si>
  <si>
    <t>HSML-2025-00473</t>
  </si>
  <si>
    <t>HSLM-DAF-CD-2025-0381</t>
  </si>
  <si>
    <t>2.2.7.2.08</t>
  </si>
  <si>
    <t>HSML-2025-00498</t>
  </si>
  <si>
    <t>HSLM-DAF-CM-2025-0123</t>
  </si>
  <si>
    <t>HSML-2025-00471</t>
  </si>
  <si>
    <t>HSLM-DAF-CD-2025-0380</t>
  </si>
  <si>
    <t>HSML-2025-00499</t>
  </si>
  <si>
    <t>HSLM-DAF-CM-2025-0124</t>
  </si>
  <si>
    <t>HSML-2025-00480</t>
  </si>
  <si>
    <t>HSLM-DAF-CD-2025-0383</t>
  </si>
  <si>
    <t>42310000</t>
  </si>
  <si>
    <t>HSML-2025-00479</t>
  </si>
  <si>
    <t>HSLM-DAF-CD-2025-0384</t>
  </si>
  <si>
    <t>HSML-2025-00495</t>
  </si>
  <si>
    <t>HSLM-DAF-CM-2025-0126</t>
  </si>
  <si>
    <t>cancelado</t>
  </si>
  <si>
    <t>HSLM-DAF-CD-2025-0385</t>
  </si>
  <si>
    <t>52150000</t>
  </si>
  <si>
    <t>Cancelado</t>
  </si>
  <si>
    <t>HSML-2025-00475</t>
  </si>
  <si>
    <t>HSLM-DAF-CD-2025-0388</t>
  </si>
  <si>
    <t>Gestoria Administrativa Ynuñez S.R.L</t>
  </si>
  <si>
    <t>HSML-2025-00474</t>
  </si>
  <si>
    <t>HSLM-DAF-CD-2025-0387</t>
  </si>
  <si>
    <t>51120000</t>
  </si>
  <si>
    <t>HSLM-DAF-CM-2025-0127</t>
  </si>
  <si>
    <t>42200000</t>
  </si>
  <si>
    <t>2.6.3.4.01</t>
  </si>
  <si>
    <t>HSML-2025-00478</t>
  </si>
  <si>
    <t>HSLM-DAF-CD-2025-0386</t>
  </si>
  <si>
    <t>HSML-2025-00477</t>
  </si>
  <si>
    <t>HSLM-DAF-CD-2025-0389</t>
  </si>
  <si>
    <t>HSML-2025-00476</t>
  </si>
  <si>
    <t>HSLM-DAF-CD-2025-0390</t>
  </si>
  <si>
    <t>2.2.9.1.01</t>
  </si>
  <si>
    <t>HSML-2025-00482</t>
  </si>
  <si>
    <t>HSLM-DAF-CD-2025-0391</t>
  </si>
  <si>
    <t>2.6.5.4.02</t>
  </si>
  <si>
    <t>HSLM-DAF-CD-2025-0392</t>
  </si>
  <si>
    <t>HSML-2025-00486</t>
  </si>
  <si>
    <t>HSLM-DAF-CD-2025-0393</t>
  </si>
  <si>
    <t>Gapiezo SRL</t>
  </si>
  <si>
    <t>HSML-2025-00514</t>
  </si>
  <si>
    <t>HSLM-DAF-CM-2025-0130</t>
  </si>
  <si>
    <t>Capegar, SRL</t>
  </si>
  <si>
    <t>39100000</t>
  </si>
  <si>
    <t>HSML-2025-00507</t>
  </si>
  <si>
    <t>HSLM-DAF-CM-2025-0128</t>
  </si>
  <si>
    <t>Osorio Integraciones, S.R.L</t>
  </si>
  <si>
    <t>52160000</t>
  </si>
  <si>
    <t>HSML-2025-00508</t>
  </si>
  <si>
    <t>HSLM-DAF-CM-2025-0129</t>
  </si>
  <si>
    <t>HSML-2025-00487</t>
  </si>
  <si>
    <t>HSLM-DAF-CD-2025-0394</t>
  </si>
  <si>
    <t>52100000</t>
  </si>
  <si>
    <t>HSML-2025-00488</t>
  </si>
  <si>
    <t>HSLM-DAF-CD-2025-0395</t>
  </si>
  <si>
    <t>HSML-2025-00491</t>
  </si>
  <si>
    <t>HSLM-DAF-CD-2025-0396</t>
  </si>
  <si>
    <t>HSML-2025-00492</t>
  </si>
  <si>
    <t>HSLM-DAF-CD-2025-0397</t>
  </si>
  <si>
    <t>HSML-2025-00493</t>
  </si>
  <si>
    <t>HSLM-DAF-CD-2025-0398</t>
  </si>
  <si>
    <t>HSLM-DAF-CM-2025-0131</t>
  </si>
  <si>
    <t>52120000</t>
  </si>
  <si>
    <t>HSML-2025-00509</t>
  </si>
  <si>
    <t>HSLM-DAF-CM-2025-0132</t>
  </si>
  <si>
    <t>HSML-2025-00496</t>
  </si>
  <si>
    <t>HSLM-DAF-CD-2025-0399</t>
  </si>
  <si>
    <t>51110000</t>
  </si>
  <si>
    <t>2.6.5.2.01</t>
  </si>
  <si>
    <t>HSML-2025-00515</t>
  </si>
  <si>
    <t>HSLM-DAF-CM-2025-0133</t>
  </si>
  <si>
    <t>HSLM-DAF-CD-2025-0400</t>
  </si>
  <si>
    <t>2.3.2.3.01</t>
  </si>
  <si>
    <t>HSML-2025-00503</t>
  </si>
  <si>
    <t>HSLM-DAF-CD-2025-0401</t>
  </si>
  <si>
    <t>60120000</t>
  </si>
  <si>
    <t>HSML-2025-00513</t>
  </si>
  <si>
    <t>HSLM-DAF-CD-2025-0402</t>
  </si>
  <si>
    <t>2.3.2.2.01</t>
  </si>
  <si>
    <t>HSML-2025-00530</t>
  </si>
  <si>
    <t>HSLM-DAF-CM-2025-0134</t>
  </si>
  <si>
    <t xml:space="preserve">Sandry Gomez Rodriguez </t>
  </si>
  <si>
    <t>50110000</t>
  </si>
  <si>
    <t>HSML-2025-00504</t>
  </si>
  <si>
    <t>HSLM-DAF-CD-2025-0403</t>
  </si>
  <si>
    <t>Antares Pharma, SRL</t>
  </si>
  <si>
    <t>HSML-2025-00531</t>
  </si>
  <si>
    <t>HSLM-DAF-CM-2025-0136</t>
  </si>
  <si>
    <t>50130000</t>
  </si>
  <si>
    <t>HSML-2025-00506</t>
  </si>
  <si>
    <t>HSLM-DAF-CD-2025-0404</t>
  </si>
  <si>
    <t>HSML-2025-00523</t>
  </si>
  <si>
    <t>HSLM-DAF-CM-2025-0135</t>
  </si>
  <si>
    <t>HSML-2025-00533</t>
  </si>
  <si>
    <t>HSLM-DAF-CM-2025-0137</t>
  </si>
  <si>
    <t>50100000</t>
  </si>
  <si>
    <t>2.2.8.5.03</t>
  </si>
  <si>
    <t>HSML-2025-00510</t>
  </si>
  <si>
    <t>HSLM-DAF-CD-2025-0405</t>
  </si>
  <si>
    <t>HSML-2025-00511</t>
  </si>
  <si>
    <t>HSLM-DAF-CD-2025-0406</t>
  </si>
  <si>
    <t>HSLM-DAF-CM-2025-0138</t>
  </si>
  <si>
    <t>50190000</t>
  </si>
  <si>
    <t>Publicado</t>
  </si>
  <si>
    <t>HSML-2025-00512</t>
  </si>
  <si>
    <t>HSLM-DAF-CD-2025-0407</t>
  </si>
  <si>
    <t>HSML-2025-00516</t>
  </si>
  <si>
    <t>HSLM-DAF-CD-2025-0409</t>
  </si>
  <si>
    <t>RYS SOLUCIONES E INVERSIONES INTEGRALES, SRL</t>
  </si>
  <si>
    <t>2.3.2.1.01</t>
  </si>
  <si>
    <t>HSML-2025-00517</t>
  </si>
  <si>
    <t>HSLM-DAF-CD-2025-0408</t>
  </si>
  <si>
    <t>HSML-2025-00528</t>
  </si>
  <si>
    <t>HSLM-DAF-CD-2025-0410</t>
  </si>
  <si>
    <t>Servicio de Biomedicina Médico SERBIOMED, SRL</t>
  </si>
  <si>
    <t>85160000</t>
  </si>
  <si>
    <t>HSML-2025-00526</t>
  </si>
  <si>
    <t>HSLM-DAF-CD-2025-0411</t>
  </si>
  <si>
    <t>HSML-2025-00518</t>
  </si>
  <si>
    <t>HSLM-DAF-CD-2025-0412</t>
  </si>
  <si>
    <t>HSLM-DAF-CM-2025-0139</t>
  </si>
  <si>
    <t>HSML-2025-00520</t>
  </si>
  <si>
    <t>HSLM-DAF-CD-2025-0413</t>
  </si>
  <si>
    <t>HSML-2025-00522</t>
  </si>
  <si>
    <t>HSLM-DAF-CD-2025-0414</t>
  </si>
  <si>
    <t>Osiris &amp; Co, SA</t>
  </si>
  <si>
    <t>HSLM-DAF-CM-2025-0140</t>
  </si>
  <si>
    <t>43210000</t>
  </si>
  <si>
    <t>HSML-2025-00519</t>
  </si>
  <si>
    <t>HSLM-DAF-CD-2025-0415</t>
  </si>
  <si>
    <t>HSML-2025-00521</t>
  </si>
  <si>
    <t>HSLM-DAF-CD-2025-0416</t>
  </si>
  <si>
    <t>53100000</t>
  </si>
  <si>
    <t>2.2.8.3.01</t>
  </si>
  <si>
    <t>HSML-2025-00524</t>
  </si>
  <si>
    <t>HSLM-DAF-CD-2025-0417</t>
  </si>
  <si>
    <t>HSML-2025-00525</t>
  </si>
  <si>
    <t>HSLM-DAF-CD-2025-0418</t>
  </si>
  <si>
    <t>HSML-2025-00532</t>
  </si>
  <si>
    <t>HSLM-DAF-CD-2025-0419</t>
  </si>
  <si>
    <t>Gta Elevators, S.R.L</t>
  </si>
  <si>
    <t>72100000</t>
  </si>
  <si>
    <t>vs</t>
  </si>
  <si>
    <t>Sub-Total Compras RD$</t>
  </si>
  <si>
    <t>RESUMEN DE COMPRAS o SERVICIOS POR CUENTAS:</t>
  </si>
  <si>
    <t>RESUMEN DE PROCESO SEGÚN MODALIDAD:</t>
  </si>
  <si>
    <t xml:space="preserve">CUENTAS No. </t>
  </si>
  <si>
    <t>CANTIDAD</t>
  </si>
  <si>
    <t>Compra Directa</t>
  </si>
  <si>
    <t>Compra Menor</t>
  </si>
  <si>
    <t>Comparacion de precio</t>
  </si>
  <si>
    <t xml:space="preserve">TOTAL COMPRAS       </t>
  </si>
  <si>
    <t>CERTIFICO CORRECTO:</t>
  </si>
  <si>
    <t>__________________________</t>
  </si>
  <si>
    <t>DIRECTOR</t>
  </si>
  <si>
    <t>ADMINISTRADOR:</t>
  </si>
  <si>
    <t>ENC. DE COMPRAS:__________________________</t>
  </si>
  <si>
    <t>TOTAL 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</si>
</sst>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_(* #,##0_);_(* \(#,##0\);_(* &quot;-&quot;??_);_(@_)"/>
    <numFmt numFmtId="166" formatCode="dd/mm/yyyy;@"/>
  </numFmts>
  <fonts count="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Baskerville Old Face"/>
      <family val="1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Baskerville Old Face"/>
      <family val="1"/>
    </font>
    <font>
      <b/>
      <sz val="10"/>
      <color indexed="8"/>
      <name val="Baskerville Old Face"/>
      <family val="1"/>
    </font>
    <font>
      <b/>
      <strike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mbria"/>
      <family val="1"/>
    </font>
    <font>
      <b/>
      <sz val="8"/>
      <name val="Cambria"/>
      <family val="1"/>
    </font>
    <font>
      <b/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26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omic Sans MS"/>
      <family val="4"/>
    </font>
    <font>
      <sz val="9"/>
      <name val="Comic Sans MS"/>
      <family val="4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 Light"/>
      <family val="1"/>
      <scheme val="major"/>
    </font>
    <font>
      <b/>
      <sz val="22"/>
      <name val="Calibri Light"/>
      <family val="1"/>
      <scheme val="major"/>
    </font>
    <font>
      <sz val="14"/>
      <name val="Calibri Light"/>
      <family val="1"/>
      <scheme val="major"/>
    </font>
    <font>
      <sz val="18"/>
      <name val="Calibri Light"/>
      <family val="1"/>
      <scheme val="major"/>
    </font>
    <font>
      <b/>
      <sz val="14"/>
      <name val="Calibri Light"/>
      <family val="2"/>
      <scheme val="major"/>
    </font>
    <font>
      <b/>
      <sz val="18"/>
      <name val="Times New Roman"/>
      <family val="1"/>
    </font>
    <font>
      <b/>
      <sz val="18"/>
      <name val="Calibri Light"/>
      <family val="1"/>
      <scheme val="major"/>
    </font>
    <font>
      <sz val="18"/>
      <color theme="1"/>
      <name val="Calibri"/>
      <family val="2"/>
      <scheme val="minor"/>
    </font>
    <font>
      <b/>
      <sz val="14"/>
      <name val="Calibri Light"/>
      <family val="1"/>
      <scheme val="major"/>
    </font>
    <font>
      <sz val="10"/>
      <color theme="1"/>
      <name val="Calibri"/>
      <family val="2"/>
      <scheme val="minor"/>
    </font>
    <font>
      <sz val="14"/>
      <name val="Calibri Light"/>
      <family val="2"/>
      <scheme val="major"/>
    </font>
    <font>
      <sz val="14"/>
      <color rgb="FFFF0000"/>
      <name val="Calibri Light"/>
      <family val="1"/>
      <scheme val="major"/>
    </font>
    <font>
      <sz val="14"/>
      <color indexed="81"/>
      <name val="Tahoma"/>
      <family val="2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MS Sans Serif"/>
      <family val="2"/>
    </font>
    <font>
      <sz val="8.0500000000000007"/>
      <color indexed="8"/>
      <name val="Times New Roman"/>
      <family val="1"/>
    </font>
    <font>
      <sz val="8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2"/>
      <name val="Calibri Light"/>
      <family val="2"/>
      <scheme val="major"/>
    </font>
    <font>
      <sz val="8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</cellStyleXfs>
  <cellXfs count="5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1"/>
    <xf numFmtId="0" fontId="3" fillId="0" borderId="0" xfId="1" applyFont="1"/>
    <xf numFmtId="9" fontId="3" fillId="0" borderId="0" xfId="1" applyNumberFormat="1" applyFont="1"/>
    <xf numFmtId="9" fontId="4" fillId="3" borderId="1" xfId="2" applyFont="1" applyFill="1" applyBorder="1" applyAlignment="1">
      <alignment vertical="top"/>
    </xf>
    <xf numFmtId="164" fontId="4" fillId="2" borderId="1" xfId="4" applyNumberFormat="1" applyFont="1" applyFill="1" applyBorder="1" applyAlignment="1">
      <alignment vertical="top"/>
    </xf>
    <xf numFmtId="0" fontId="4" fillId="2" borderId="1" xfId="1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center" vertical="top"/>
    </xf>
    <xf numFmtId="0" fontId="4" fillId="2" borderId="1" xfId="5" applyFont="1" applyFill="1" applyBorder="1" applyAlignment="1">
      <alignment vertical="top"/>
    </xf>
    <xf numFmtId="9" fontId="4" fillId="4" borderId="1" xfId="2" applyFont="1" applyFill="1" applyBorder="1" applyAlignment="1">
      <alignment vertical="top"/>
    </xf>
    <xf numFmtId="164" fontId="4" fillId="4" borderId="1" xfId="4" applyNumberFormat="1" applyFont="1" applyFill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6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vertical="top"/>
    </xf>
    <xf numFmtId="0" fontId="4" fillId="2" borderId="1" xfId="5" applyFont="1" applyFill="1" applyBorder="1"/>
    <xf numFmtId="0" fontId="4" fillId="4" borderId="1" xfId="5" applyFont="1" applyFill="1" applyBorder="1"/>
    <xf numFmtId="9" fontId="6" fillId="5" borderId="1" xfId="2" applyFont="1" applyFill="1" applyBorder="1" applyAlignment="1">
      <alignment vertical="top"/>
    </xf>
    <xf numFmtId="164" fontId="6" fillId="5" borderId="1" xfId="4" applyNumberFormat="1" applyFont="1" applyFill="1" applyBorder="1" applyAlignment="1">
      <alignment vertical="top"/>
    </xf>
    <xf numFmtId="0" fontId="6" fillId="5" borderId="1" xfId="1" applyFont="1" applyFill="1" applyBorder="1" applyAlignment="1">
      <alignment vertical="top" wrapText="1"/>
    </xf>
    <xf numFmtId="0" fontId="6" fillId="5" borderId="1" xfId="5" applyFont="1" applyFill="1" applyBorder="1" applyAlignment="1">
      <alignment horizontal="center" vertical="top"/>
    </xf>
    <xf numFmtId="0" fontId="6" fillId="5" borderId="1" xfId="5" applyFont="1" applyFill="1" applyBorder="1"/>
    <xf numFmtId="0" fontId="4" fillId="2" borderId="1" xfId="5" quotePrefix="1" applyFont="1" applyFill="1" applyBorder="1" applyAlignment="1">
      <alignment horizontal="center" vertical="top"/>
    </xf>
    <xf numFmtId="164" fontId="4" fillId="0" borderId="1" xfId="4" applyNumberFormat="1" applyFont="1" applyFill="1" applyBorder="1" applyAlignment="1">
      <alignment vertical="top"/>
    </xf>
    <xf numFmtId="0" fontId="4" fillId="0" borderId="1" xfId="1" applyFont="1" applyBorder="1" applyAlignment="1">
      <alignment vertical="top" wrapText="1"/>
    </xf>
    <xf numFmtId="0" fontId="4" fillId="0" borderId="1" xfId="5" applyFont="1" applyBorder="1" applyAlignment="1">
      <alignment horizontal="center" vertical="top"/>
    </xf>
    <xf numFmtId="0" fontId="4" fillId="0" borderId="1" xfId="5" applyFont="1" applyBorder="1"/>
    <xf numFmtId="0" fontId="4" fillId="5" borderId="1" xfId="5" applyFont="1" applyFill="1" applyBorder="1" applyAlignment="1">
      <alignment horizontal="center" vertical="top"/>
    </xf>
    <xf numFmtId="0" fontId="6" fillId="5" borderId="1" xfId="5" applyFont="1" applyFill="1" applyBorder="1" applyAlignment="1">
      <alignment vertical="top"/>
    </xf>
    <xf numFmtId="0" fontId="6" fillId="5" borderId="1" xfId="5" applyFont="1" applyFill="1" applyBorder="1" applyAlignment="1">
      <alignment horizontal="left" vertical="top"/>
    </xf>
    <xf numFmtId="0" fontId="6" fillId="5" borderId="1" xfId="5" applyFont="1" applyFill="1" applyBorder="1" applyAlignment="1">
      <alignment horizontal="right" vertical="top"/>
    </xf>
    <xf numFmtId="0" fontId="4" fillId="2" borderId="1" xfId="5" applyFont="1" applyFill="1" applyBorder="1" applyAlignment="1">
      <alignment vertical="top" wrapText="1"/>
    </xf>
    <xf numFmtId="0" fontId="4" fillId="4" borderId="1" xfId="5" applyFont="1" applyFill="1" applyBorder="1" applyAlignment="1">
      <alignment vertical="top" wrapText="1"/>
    </xf>
    <xf numFmtId="0" fontId="6" fillId="5" borderId="1" xfId="5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justify" vertical="top" wrapText="1"/>
    </xf>
    <xf numFmtId="0" fontId="4" fillId="2" borderId="1" xfId="1" applyFont="1" applyFill="1" applyBorder="1" applyAlignment="1">
      <alignment wrapText="1"/>
    </xf>
    <xf numFmtId="0" fontId="4" fillId="4" borderId="1" xfId="1" applyFont="1" applyFill="1" applyBorder="1"/>
    <xf numFmtId="0" fontId="6" fillId="5" borderId="1" xfId="1" applyFont="1" applyFill="1" applyBorder="1" applyAlignment="1">
      <alignment wrapText="1"/>
    </xf>
    <xf numFmtId="0" fontId="4" fillId="2" borderId="1" xfId="1" applyFont="1" applyFill="1" applyBorder="1"/>
    <xf numFmtId="0" fontId="6" fillId="5" borderId="1" xfId="1" applyFont="1" applyFill="1" applyBorder="1"/>
    <xf numFmtId="0" fontId="6" fillId="5" borderId="1" xfId="5" applyFont="1" applyFill="1" applyBorder="1" applyAlignment="1">
      <alignment horizontal="center"/>
    </xf>
    <xf numFmtId="0" fontId="4" fillId="2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vertical="top"/>
    </xf>
    <xf numFmtId="164" fontId="6" fillId="5" borderId="14" xfId="4" applyNumberFormat="1" applyFont="1" applyFill="1" applyBorder="1" applyAlignment="1">
      <alignment vertical="top"/>
    </xf>
    <xf numFmtId="0" fontId="6" fillId="5" borderId="14" xfId="5" applyFont="1" applyFill="1" applyBorder="1" applyAlignment="1">
      <alignment vertical="top"/>
    </xf>
    <xf numFmtId="0" fontId="6" fillId="5" borderId="14" xfId="5" applyFont="1" applyFill="1" applyBorder="1" applyAlignment="1">
      <alignment horizontal="center" vertical="top"/>
    </xf>
    <xf numFmtId="0" fontId="7" fillId="5" borderId="14" xfId="5" applyFont="1" applyFill="1" applyBorder="1" applyAlignment="1">
      <alignment vertical="top"/>
    </xf>
    <xf numFmtId="9" fontId="8" fillId="6" borderId="2" xfId="2" applyFont="1" applyFill="1" applyBorder="1" applyAlignment="1">
      <alignment vertical="top"/>
    </xf>
    <xf numFmtId="164" fontId="8" fillId="6" borderId="12" xfId="4" applyNumberFormat="1" applyFont="1" applyFill="1" applyBorder="1" applyAlignment="1">
      <alignment vertical="top"/>
    </xf>
    <xf numFmtId="0" fontId="8" fillId="6" borderId="12" xfId="5" applyFont="1" applyFill="1" applyBorder="1" applyAlignment="1">
      <alignment vertical="top"/>
    </xf>
    <xf numFmtId="0" fontId="8" fillId="6" borderId="12" xfId="5" applyFont="1" applyFill="1" applyBorder="1" applyAlignment="1">
      <alignment horizontal="center" vertical="top"/>
    </xf>
    <xf numFmtId="0" fontId="9" fillId="6" borderId="12" xfId="5" applyFont="1" applyFill="1" applyBorder="1" applyAlignment="1">
      <alignment vertical="top"/>
    </xf>
    <xf numFmtId="0" fontId="2" fillId="0" borderId="0" xfId="1" applyAlignment="1">
      <alignment horizontal="center"/>
    </xf>
    <xf numFmtId="0" fontId="15" fillId="8" borderId="1" xfId="5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164" fontId="2" fillId="0" borderId="0" xfId="1" applyNumberFormat="1"/>
    <xf numFmtId="0" fontId="6" fillId="3" borderId="15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3" borderId="13" xfId="1" applyFont="1" applyFill="1" applyBorder="1" applyAlignment="1">
      <alignment horizontal="center"/>
    </xf>
    <xf numFmtId="4" fontId="7" fillId="9" borderId="0" xfId="1" applyNumberFormat="1" applyFont="1" applyFill="1"/>
    <xf numFmtId="4" fontId="16" fillId="9" borderId="0" xfId="1" applyNumberFormat="1" applyFont="1" applyFill="1"/>
    <xf numFmtId="4" fontId="17" fillId="9" borderId="0" xfId="1" applyNumberFormat="1" applyFont="1" applyFill="1"/>
    <xf numFmtId="0" fontId="16" fillId="9" borderId="0" xfId="1" applyFont="1" applyFill="1"/>
    <xf numFmtId="0" fontId="17" fillId="9" borderId="0" xfId="1" applyFont="1" applyFill="1"/>
    <xf numFmtId="4" fontId="17" fillId="9" borderId="0" xfId="1" applyNumberFormat="1" applyFont="1" applyFill="1" applyAlignment="1">
      <alignment horizontal="left"/>
    </xf>
    <xf numFmtId="0" fontId="16" fillId="9" borderId="13" xfId="1" applyFont="1" applyFill="1" applyBorder="1"/>
    <xf numFmtId="4" fontId="18" fillId="2" borderId="0" xfId="1" applyNumberFormat="1" applyFont="1" applyFill="1" applyAlignment="1">
      <alignment horizontal="center"/>
    </xf>
    <xf numFmtId="4" fontId="6" fillId="2" borderId="0" xfId="1" applyNumberFormat="1" applyFont="1" applyFill="1" applyAlignment="1">
      <alignment horizontal="center"/>
    </xf>
    <xf numFmtId="4" fontId="17" fillId="2" borderId="0" xfId="1" applyNumberFormat="1" applyFont="1" applyFill="1" applyAlignment="1">
      <alignment horizontal="left" indent="11"/>
    </xf>
    <xf numFmtId="0" fontId="16" fillId="2" borderId="0" xfId="1" applyFont="1" applyFill="1"/>
    <xf numFmtId="0" fontId="16" fillId="2" borderId="13" xfId="1" applyFont="1" applyFill="1" applyBorder="1"/>
    <xf numFmtId="4" fontId="18" fillId="2" borderId="16" xfId="1" applyNumberFormat="1" applyFont="1" applyFill="1" applyBorder="1"/>
    <xf numFmtId="43" fontId="6" fillId="0" borderId="0" xfId="4" applyFont="1" applyBorder="1" applyAlignment="1">
      <alignment horizontal="left"/>
    </xf>
    <xf numFmtId="4" fontId="18" fillId="2" borderId="17" xfId="1" applyNumberFormat="1" applyFont="1" applyFill="1" applyBorder="1"/>
    <xf numFmtId="4" fontId="6" fillId="2" borderId="0" xfId="1" applyNumberFormat="1" applyFont="1" applyFill="1" applyAlignment="1">
      <alignment horizontal="left" indent="11"/>
    </xf>
    <xf numFmtId="4" fontId="18" fillId="2" borderId="0" xfId="1" applyNumberFormat="1" applyFont="1" applyFill="1"/>
    <xf numFmtId="4" fontId="6" fillId="2" borderId="0" xfId="1" applyNumberFormat="1" applyFont="1" applyFill="1" applyAlignment="1">
      <alignment horizontal="left" indent="2"/>
    </xf>
    <xf numFmtId="4" fontId="18" fillId="2" borderId="4" xfId="1" applyNumberFormat="1" applyFont="1" applyFill="1" applyBorder="1"/>
    <xf numFmtId="4" fontId="7" fillId="2" borderId="0" xfId="1" applyNumberFormat="1" applyFont="1" applyFill="1" applyAlignment="1">
      <alignment horizontal="left" indent="2"/>
    </xf>
    <xf numFmtId="4" fontId="6" fillId="2" borderId="0" xfId="1" applyNumberFormat="1" applyFont="1" applyFill="1" applyAlignment="1">
      <alignment horizontal="left" indent="3"/>
    </xf>
    <xf numFmtId="4" fontId="19" fillId="2" borderId="0" xfId="1" applyNumberFormat="1" applyFont="1" applyFill="1" applyAlignment="1">
      <alignment horizontal="left" indent="2"/>
    </xf>
    <xf numFmtId="0" fontId="18" fillId="2" borderId="0" xfId="1" applyFont="1" applyFill="1"/>
    <xf numFmtId="0" fontId="6" fillId="2" borderId="0" xfId="1" applyFont="1" applyFill="1" applyAlignment="1">
      <alignment horizontal="left" indent="3"/>
    </xf>
    <xf numFmtId="0" fontId="17" fillId="9" borderId="15" xfId="1" applyFont="1" applyFill="1" applyBorder="1" applyAlignment="1">
      <alignment horizontal="left"/>
    </xf>
    <xf numFmtId="0" fontId="17" fillId="9" borderId="0" xfId="1" applyFont="1" applyFill="1" applyAlignment="1">
      <alignment horizontal="left"/>
    </xf>
    <xf numFmtId="0" fontId="17" fillId="9" borderId="13" xfId="1" applyFont="1" applyFill="1" applyBorder="1" applyAlignment="1">
      <alignment horizontal="left"/>
    </xf>
    <xf numFmtId="0" fontId="23" fillId="3" borderId="15" xfId="1" applyFont="1" applyFill="1" applyBorder="1"/>
    <xf numFmtId="0" fontId="23" fillId="3" borderId="0" xfId="1" applyFont="1" applyFill="1"/>
    <xf numFmtId="0" fontId="23" fillId="3" borderId="10" xfId="1" applyFont="1" applyFill="1" applyBorder="1"/>
    <xf numFmtId="0" fontId="23" fillId="3" borderId="17" xfId="1" applyFont="1" applyFill="1" applyBorder="1"/>
    <xf numFmtId="0" fontId="4" fillId="3" borderId="17" xfId="1" applyFont="1" applyFill="1" applyBorder="1"/>
    <xf numFmtId="0" fontId="4" fillId="3" borderId="11" xfId="1" applyFont="1" applyFill="1" applyBorder="1"/>
    <xf numFmtId="0" fontId="25" fillId="0" borderId="0" xfId="1" applyFont="1"/>
    <xf numFmtId="9" fontId="26" fillId="5" borderId="8" xfId="1" applyNumberFormat="1" applyFont="1" applyFill="1" applyBorder="1" applyAlignment="1">
      <alignment horizontal="center"/>
    </xf>
    <xf numFmtId="9" fontId="26" fillId="5" borderId="8" xfId="2" applyFont="1" applyFill="1" applyBorder="1"/>
    <xf numFmtId="0" fontId="27" fillId="5" borderId="9" xfId="1" applyFont="1" applyFill="1" applyBorder="1" applyAlignment="1">
      <alignment horizontal="center"/>
    </xf>
    <xf numFmtId="4" fontId="26" fillId="5" borderId="8" xfId="1" applyNumberFormat="1" applyFont="1" applyFill="1" applyBorder="1"/>
    <xf numFmtId="9" fontId="26" fillId="10" borderId="8" xfId="1" applyNumberFormat="1" applyFont="1" applyFill="1" applyBorder="1" applyAlignment="1">
      <alignment horizontal="center"/>
    </xf>
    <xf numFmtId="4" fontId="26" fillId="10" borderId="1" xfId="1" applyNumberFormat="1" applyFont="1" applyFill="1" applyBorder="1"/>
    <xf numFmtId="0" fontId="26" fillId="10" borderId="9" xfId="1" applyFont="1" applyFill="1" applyBorder="1" applyAlignment="1">
      <alignment horizontal="center"/>
    </xf>
    <xf numFmtId="9" fontId="28" fillId="0" borderId="18" xfId="2" applyFont="1" applyBorder="1" applyAlignment="1">
      <alignment horizontal="center"/>
    </xf>
    <xf numFmtId="4" fontId="28" fillId="0" borderId="5" xfId="1" applyNumberFormat="1" applyFont="1" applyBorder="1"/>
    <xf numFmtId="4" fontId="28" fillId="0" borderId="1" xfId="1" applyNumberFormat="1" applyFont="1" applyBorder="1"/>
    <xf numFmtId="0" fontId="29" fillId="0" borderId="19" xfId="1" applyFont="1" applyBorder="1" applyAlignment="1">
      <alignment horizontal="left"/>
    </xf>
    <xf numFmtId="9" fontId="28" fillId="0" borderId="20" xfId="2" applyFont="1" applyBorder="1" applyAlignment="1">
      <alignment horizontal="center"/>
    </xf>
    <xf numFmtId="0" fontId="30" fillId="0" borderId="21" xfId="1" applyFont="1" applyBorder="1" applyAlignment="1">
      <alignment horizontal="left"/>
    </xf>
    <xf numFmtId="0" fontId="29" fillId="0" borderId="22" xfId="1" applyFont="1" applyBorder="1" applyAlignment="1">
      <alignment horizontal="left"/>
    </xf>
    <xf numFmtId="0" fontId="31" fillId="11" borderId="23" xfId="1" applyFont="1" applyFill="1" applyBorder="1" applyAlignment="1">
      <alignment horizontal="center" vertical="center"/>
    </xf>
    <xf numFmtId="0" fontId="31" fillId="11" borderId="0" xfId="1" applyFont="1" applyFill="1" applyAlignment="1">
      <alignment horizontal="center" vertical="center"/>
    </xf>
    <xf numFmtId="0" fontId="31" fillId="11" borderId="0" xfId="1" applyFont="1" applyFill="1" applyAlignment="1">
      <alignment horizontal="center" wrapText="1"/>
    </xf>
    <xf numFmtId="0" fontId="32" fillId="11" borderId="24" xfId="1" applyFont="1" applyFill="1" applyBorder="1" applyAlignment="1">
      <alignment horizontal="left" vertical="center"/>
    </xf>
    <xf numFmtId="9" fontId="26" fillId="10" borderId="20" xfId="2" applyFont="1" applyFill="1" applyBorder="1" applyAlignment="1">
      <alignment horizontal="center"/>
    </xf>
    <xf numFmtId="0" fontId="33" fillId="10" borderId="22" xfId="1" applyFont="1" applyFill="1" applyBorder="1" applyAlignment="1">
      <alignment horizontal="center"/>
    </xf>
    <xf numFmtId="0" fontId="30" fillId="0" borderId="22" xfId="1" applyFont="1" applyBorder="1" applyAlignment="1">
      <alignment horizontal="left"/>
    </xf>
    <xf numFmtId="0" fontId="26" fillId="0" borderId="0" xfId="1" applyFont="1" applyAlignment="1">
      <alignment horizontal="center"/>
    </xf>
    <xf numFmtId="0" fontId="39" fillId="0" borderId="1" xfId="0" applyFont="1" applyBorder="1" applyAlignment="1">
      <alignment horizontal="center"/>
    </xf>
    <xf numFmtId="43" fontId="0" fillId="0" borderId="1" xfId="6" applyFont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42" fillId="0" borderId="0" xfId="1" applyFont="1"/>
    <xf numFmtId="43" fontId="0" fillId="0" borderId="1" xfId="6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3" fillId="0" borderId="1" xfId="0" applyFont="1" applyBorder="1" applyAlignment="1">
      <alignment horizontal="center"/>
    </xf>
    <xf numFmtId="43" fontId="0" fillId="0" borderId="1" xfId="6" applyFont="1" applyBorder="1"/>
    <xf numFmtId="0" fontId="29" fillId="0" borderId="29" xfId="1" applyFont="1" applyBorder="1" applyAlignment="1">
      <alignment horizontal="left"/>
    </xf>
    <xf numFmtId="4" fontId="28" fillId="0" borderId="2" xfId="1" applyNumberFormat="1" applyFont="1" applyBorder="1"/>
    <xf numFmtId="4" fontId="26" fillId="10" borderId="30" xfId="1" applyNumberFormat="1" applyFont="1" applyFill="1" applyBorder="1"/>
    <xf numFmtId="4" fontId="26" fillId="10" borderId="31" xfId="1" applyNumberFormat="1" applyFont="1" applyFill="1" applyBorder="1"/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45" fillId="13" borderId="1" xfId="0" applyFont="1" applyFill="1" applyBorder="1" applyAlignment="1">
      <alignment horizontal="center" vertical="center" wrapText="1"/>
    </xf>
    <xf numFmtId="0" fontId="45" fillId="13" borderId="1" xfId="0" applyFont="1" applyFill="1" applyBorder="1" applyAlignment="1">
      <alignment horizontal="left" vertical="center" wrapText="1"/>
    </xf>
    <xf numFmtId="43" fontId="45" fillId="13" borderId="1" xfId="6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43" fontId="46" fillId="0" borderId="1" xfId="6" applyFont="1" applyFill="1" applyBorder="1"/>
    <xf numFmtId="43" fontId="46" fillId="0" borderId="1" xfId="6" applyFont="1" applyBorder="1"/>
    <xf numFmtId="0" fontId="0" fillId="0" borderId="0" xfId="0" applyAlignment="1">
      <alignment horizontal="left"/>
    </xf>
    <xf numFmtId="0" fontId="43" fillId="0" borderId="0" xfId="0" applyFont="1"/>
    <xf numFmtId="43" fontId="43" fillId="15" borderId="1" xfId="6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horizontal="left" vertical="center" wrapText="1"/>
    </xf>
    <xf numFmtId="43" fontId="43" fillId="16" borderId="1" xfId="6" applyFont="1" applyFill="1" applyBorder="1" applyAlignment="1">
      <alignment horizontal="center" vertical="center" wrapText="1"/>
    </xf>
    <xf numFmtId="0" fontId="43" fillId="16" borderId="1" xfId="0" applyFont="1" applyFill="1" applyBorder="1" applyAlignment="1">
      <alignment horizontal="left" vertical="center" wrapText="1"/>
    </xf>
    <xf numFmtId="43" fontId="0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 indent="2"/>
    </xf>
    <xf numFmtId="43" fontId="43" fillId="0" borderId="1" xfId="6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43" fontId="43" fillId="0" borderId="1" xfId="6" applyFont="1" applyBorder="1"/>
    <xf numFmtId="43" fontId="43" fillId="17" borderId="1" xfId="6" applyFont="1" applyFill="1" applyBorder="1" applyAlignment="1">
      <alignment wrapText="1"/>
    </xf>
    <xf numFmtId="43" fontId="0" fillId="17" borderId="1" xfId="6" applyFont="1" applyFill="1" applyBorder="1"/>
    <xf numFmtId="0" fontId="43" fillId="17" borderId="1" xfId="0" applyFont="1" applyFill="1" applyBorder="1" applyAlignment="1">
      <alignment horizontal="left" vertical="center" wrapText="1"/>
    </xf>
    <xf numFmtId="43" fontId="43" fillId="0" borderId="1" xfId="6" applyFont="1" applyBorder="1" applyAlignment="1">
      <alignment horizontal="left" vertical="center" wrapText="1"/>
    </xf>
    <xf numFmtId="0" fontId="39" fillId="15" borderId="1" xfId="0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vertical="center" wrapText="1"/>
    </xf>
    <xf numFmtId="165" fontId="43" fillId="0" borderId="1" xfId="0" applyNumberFormat="1" applyFont="1" applyBorder="1" applyAlignment="1">
      <alignment vertical="center" wrapText="1"/>
    </xf>
    <xf numFmtId="165" fontId="43" fillId="16" borderId="1" xfId="0" applyNumberFormat="1" applyFont="1" applyFill="1" applyBorder="1" applyAlignment="1">
      <alignment horizontal="center" vertical="center" wrapText="1"/>
    </xf>
    <xf numFmtId="165" fontId="43" fillId="15" borderId="1" xfId="0" applyNumberFormat="1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43" fontId="43" fillId="0" borderId="1" xfId="6" applyFont="1" applyFill="1" applyBorder="1" applyAlignment="1">
      <alignment horizontal="left" vertical="center" wrapText="1"/>
    </xf>
    <xf numFmtId="43" fontId="43" fillId="17" borderId="1" xfId="6" applyFont="1" applyFill="1" applyBorder="1" applyAlignment="1">
      <alignment horizontal="right" wrapText="1"/>
    </xf>
    <xf numFmtId="43" fontId="43" fillId="17" borderId="1" xfId="0" applyNumberFormat="1" applyFont="1" applyFill="1" applyBorder="1"/>
    <xf numFmtId="43" fontId="43" fillId="0" borderId="1" xfId="6" applyFont="1" applyFill="1" applyBorder="1" applyAlignment="1">
      <alignment horizontal="right" wrapText="1"/>
    </xf>
    <xf numFmtId="43" fontId="43" fillId="0" borderId="1" xfId="6" applyFont="1" applyFill="1" applyBorder="1" applyAlignment="1">
      <alignment horizontal="right"/>
    </xf>
    <xf numFmtId="43" fontId="0" fillId="0" borderId="1" xfId="0" applyNumberFormat="1" applyBorder="1"/>
    <xf numFmtId="0" fontId="0" fillId="17" borderId="0" xfId="0" applyFill="1"/>
    <xf numFmtId="43" fontId="43" fillId="17" borderId="1" xfId="6" applyFont="1" applyFill="1" applyBorder="1" applyAlignment="1">
      <alignment vertical="center" wrapText="1"/>
    </xf>
    <xf numFmtId="0" fontId="39" fillId="0" borderId="1" xfId="0" applyFont="1" applyBorder="1" applyAlignment="1">
      <alignment horizontal="left" vertical="center" wrapText="1"/>
    </xf>
    <xf numFmtId="0" fontId="39" fillId="17" borderId="33" xfId="0" applyFont="1" applyFill="1" applyBorder="1" applyAlignment="1">
      <alignment horizontal="center"/>
    </xf>
    <xf numFmtId="0" fontId="39" fillId="11" borderId="1" xfId="0" applyFont="1" applyFill="1" applyBorder="1" applyAlignment="1">
      <alignment wrapText="1"/>
    </xf>
    <xf numFmtId="0" fontId="39" fillId="11" borderId="20" xfId="0" applyFont="1" applyFill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47" fillId="0" borderId="0" xfId="0" applyFont="1"/>
    <xf numFmtId="0" fontId="43" fillId="19" borderId="40" xfId="0" applyFont="1" applyFill="1" applyBorder="1" applyAlignment="1">
      <alignment horizontal="center" vertical="center"/>
    </xf>
    <xf numFmtId="0" fontId="43" fillId="19" borderId="41" xfId="0" applyFont="1" applyFill="1" applyBorder="1" applyAlignment="1">
      <alignment horizontal="center" vertical="center"/>
    </xf>
    <xf numFmtId="0" fontId="43" fillId="19" borderId="4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" fontId="0" fillId="0" borderId="1" xfId="0" applyNumberFormat="1" applyBorder="1"/>
    <xf numFmtId="0" fontId="0" fillId="20" borderId="1" xfId="0" applyFill="1" applyBorder="1"/>
    <xf numFmtId="0" fontId="49" fillId="0" borderId="1" xfId="0" applyFont="1" applyBorder="1"/>
    <xf numFmtId="0" fontId="0" fillId="21" borderId="1" xfId="0" applyFill="1" applyBorder="1"/>
    <xf numFmtId="0" fontId="43" fillId="21" borderId="0" xfId="0" applyFont="1" applyFill="1" applyAlignment="1">
      <alignment horizontal="center" vertical="center" wrapText="1"/>
    </xf>
    <xf numFmtId="0" fontId="0" fillId="21" borderId="0" xfId="0" applyFill="1"/>
    <xf numFmtId="43" fontId="0" fillId="0" borderId="0" xfId="6" applyFont="1"/>
    <xf numFmtId="0" fontId="52" fillId="0" borderId="0" xfId="5" applyFont="1"/>
    <xf numFmtId="0" fontId="55" fillId="0" borderId="0" xfId="5" applyFont="1"/>
    <xf numFmtId="43" fontId="55" fillId="0" borderId="0" xfId="6" applyFont="1" applyFill="1" applyAlignment="1"/>
    <xf numFmtId="0" fontId="56" fillId="0" borderId="0" xfId="5" applyFont="1"/>
    <xf numFmtId="0" fontId="56" fillId="0" borderId="0" xfId="5" applyFont="1" applyAlignment="1">
      <alignment horizontal="left"/>
    </xf>
    <xf numFmtId="43" fontId="57" fillId="0" borderId="0" xfId="6" applyFont="1"/>
    <xf numFmtId="0" fontId="57" fillId="0" borderId="0" xfId="0" applyFont="1"/>
    <xf numFmtId="43" fontId="57" fillId="0" borderId="0" xfId="0" applyNumberFormat="1" applyFont="1"/>
    <xf numFmtId="0" fontId="1" fillId="0" borderId="0" xfId="5" applyAlignment="1">
      <alignment horizontal="center"/>
    </xf>
    <xf numFmtId="0" fontId="1" fillId="0" borderId="0" xfId="5"/>
    <xf numFmtId="43" fontId="2" fillId="0" borderId="0" xfId="6" applyFont="1"/>
    <xf numFmtId="0" fontId="58" fillId="22" borderId="1" xfId="5" applyFont="1" applyFill="1" applyBorder="1" applyAlignment="1">
      <alignment horizontal="center" vertical="center"/>
    </xf>
    <xf numFmtId="0" fontId="58" fillId="23" borderId="1" xfId="5" applyFont="1" applyFill="1" applyBorder="1" applyAlignment="1">
      <alignment horizontal="center" vertical="center"/>
    </xf>
    <xf numFmtId="43" fontId="58" fillId="23" borderId="1" xfId="6" applyFont="1" applyFill="1" applyBorder="1" applyAlignment="1">
      <alignment horizontal="center" vertical="center"/>
    </xf>
    <xf numFmtId="0" fontId="52" fillId="0" borderId="1" xfId="5" applyFont="1" applyBorder="1" applyAlignment="1">
      <alignment horizontal="center"/>
    </xf>
    <xf numFmtId="0" fontId="52" fillId="0" borderId="1" xfId="5" applyFont="1" applyBorder="1" applyAlignment="1">
      <alignment horizontal="left" vertical="center"/>
    </xf>
    <xf numFmtId="43" fontId="52" fillId="0" borderId="1" xfId="6" applyFont="1" applyFill="1" applyBorder="1" applyAlignment="1">
      <alignment vertical="center"/>
    </xf>
    <xf numFmtId="43" fontId="52" fillId="0" borderId="1" xfId="6" applyFont="1" applyFill="1" applyBorder="1" applyAlignment="1">
      <alignment horizontal="left" vertical="center"/>
    </xf>
    <xf numFmtId="43" fontId="52" fillId="0" borderId="1" xfId="10" applyFont="1" applyFill="1" applyBorder="1" applyAlignment="1"/>
    <xf numFmtId="43" fontId="52" fillId="0" borderId="1" xfId="6" applyFont="1" applyFill="1" applyBorder="1" applyAlignment="1"/>
    <xf numFmtId="43" fontId="59" fillId="3" borderId="1" xfId="6" applyFont="1" applyFill="1" applyBorder="1" applyAlignment="1">
      <alignment horizontal="center" wrapText="1"/>
    </xf>
    <xf numFmtId="43" fontId="58" fillId="20" borderId="1" xfId="5" applyNumberFormat="1" applyFont="1" applyFill="1" applyBorder="1" applyAlignment="1">
      <alignment vertical="center"/>
    </xf>
    <xf numFmtId="43" fontId="58" fillId="20" borderId="1" xfId="5" applyNumberFormat="1" applyFont="1" applyFill="1" applyBorder="1" applyAlignment="1">
      <alignment horizontal="center" vertical="center"/>
    </xf>
    <xf numFmtId="43" fontId="58" fillId="20" borderId="1" xfId="6" applyFont="1" applyFill="1" applyBorder="1" applyAlignment="1">
      <alignment horizontal="center" vertical="center"/>
    </xf>
    <xf numFmtId="43" fontId="58" fillId="20" borderId="1" xfId="10" applyFont="1" applyFill="1" applyBorder="1" applyAlignment="1"/>
    <xf numFmtId="43" fontId="52" fillId="0" borderId="1" xfId="5" applyNumberFormat="1" applyFont="1" applyBorder="1" applyAlignment="1">
      <alignment vertical="center"/>
    </xf>
    <xf numFmtId="43" fontId="52" fillId="0" borderId="1" xfId="5" applyNumberFormat="1" applyFont="1" applyBorder="1" applyAlignment="1">
      <alignment horizontal="left" vertical="center"/>
    </xf>
    <xf numFmtId="43" fontId="60" fillId="0" borderId="1" xfId="10" applyFont="1" applyFill="1" applyBorder="1" applyAlignment="1">
      <alignment horizontal="center"/>
    </xf>
    <xf numFmtId="43" fontId="30" fillId="0" borderId="1" xfId="10" applyFont="1" applyFill="1" applyBorder="1" applyAlignment="1"/>
    <xf numFmtId="43" fontId="58" fillId="0" borderId="1" xfId="6" applyFont="1" applyFill="1" applyBorder="1" applyAlignment="1">
      <alignment horizontal="center"/>
    </xf>
    <xf numFmtId="43" fontId="60" fillId="0" borderId="1" xfId="6" applyFont="1" applyFill="1" applyBorder="1" applyAlignment="1">
      <alignment horizontal="center"/>
    </xf>
    <xf numFmtId="43" fontId="58" fillId="23" borderId="1" xfId="5" applyNumberFormat="1" applyFont="1" applyFill="1" applyBorder="1" applyAlignment="1">
      <alignment horizontal="center" vertical="center"/>
    </xf>
    <xf numFmtId="0" fontId="58" fillId="3" borderId="0" xfId="5" applyFont="1" applyFill="1" applyAlignment="1">
      <alignment horizontal="center" vertical="center"/>
    </xf>
    <xf numFmtId="43" fontId="58" fillId="3" borderId="0" xfId="5" applyNumberFormat="1" applyFont="1" applyFill="1" applyAlignment="1">
      <alignment horizontal="center" vertical="center"/>
    </xf>
    <xf numFmtId="43" fontId="58" fillId="3" borderId="0" xfId="6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43" fontId="52" fillId="0" borderId="0" xfId="10" applyFont="1" applyFill="1" applyBorder="1" applyAlignment="1"/>
    <xf numFmtId="43" fontId="52" fillId="0" borderId="0" xfId="6" applyFont="1" applyFill="1" applyBorder="1" applyAlignment="1"/>
    <xf numFmtId="17" fontId="52" fillId="0" borderId="0" xfId="5" applyNumberFormat="1" applyFont="1" applyAlignment="1">
      <alignment horizontal="left"/>
    </xf>
    <xf numFmtId="43" fontId="0" fillId="0" borderId="0" xfId="0" applyNumberFormat="1"/>
    <xf numFmtId="0" fontId="26" fillId="0" borderId="0" xfId="0" applyFont="1" applyAlignment="1">
      <alignment horizontal="left"/>
    </xf>
    <xf numFmtId="43" fontId="52" fillId="0" borderId="0" xfId="5" applyNumberFormat="1" applyFont="1"/>
    <xf numFmtId="0" fontId="58" fillId="0" borderId="0" xfId="5" applyFont="1" applyAlignment="1">
      <alignment horizontal="left" vertical="center"/>
    </xf>
    <xf numFmtId="0" fontId="58" fillId="0" borderId="0" xfId="5" applyFont="1" applyAlignment="1">
      <alignment horizontal="center" vertical="center"/>
    </xf>
    <xf numFmtId="43" fontId="58" fillId="0" borderId="0" xfId="6" applyFont="1" applyFill="1" applyBorder="1" applyAlignment="1">
      <alignment horizontal="center" vertical="center"/>
    </xf>
    <xf numFmtId="17" fontId="61" fillId="0" borderId="0" xfId="5" applyNumberFormat="1" applyFont="1" applyAlignment="1">
      <alignment horizontal="left"/>
    </xf>
    <xf numFmtId="43" fontId="61" fillId="0" borderId="0" xfId="10" applyFont="1" applyFill="1" applyBorder="1" applyAlignment="1"/>
    <xf numFmtId="43" fontId="61" fillId="0" borderId="0" xfId="5" applyNumberFormat="1" applyFont="1"/>
    <xf numFmtId="0" fontId="61" fillId="0" borderId="0" xfId="5" applyFont="1"/>
    <xf numFmtId="43" fontId="61" fillId="0" borderId="0" xfId="6" applyFont="1" applyFill="1" applyBorder="1" applyAlignment="1"/>
    <xf numFmtId="0" fontId="58" fillId="0" borderId="0" xfId="5" applyFont="1" applyAlignment="1">
      <alignment horizontal="left"/>
    </xf>
    <xf numFmtId="43" fontId="58" fillId="0" borderId="0" xfId="5" applyNumberFormat="1" applyFont="1"/>
    <xf numFmtId="0" fontId="52" fillId="0" borderId="0" xfId="5" applyFont="1" applyAlignment="1">
      <alignment horizontal="left"/>
    </xf>
    <xf numFmtId="0" fontId="33" fillId="23" borderId="2" xfId="5" applyFont="1" applyFill="1" applyBorder="1" applyAlignment="1">
      <alignment horizontal="center" vertical="center" wrapText="1"/>
    </xf>
    <xf numFmtId="0" fontId="64" fillId="3" borderId="1" xfId="0" applyFont="1" applyFill="1" applyBorder="1" applyAlignment="1">
      <alignment horizontal="left" vertical="center" wrapText="1" readingOrder="1"/>
    </xf>
    <xf numFmtId="4" fontId="38" fillId="0" borderId="1" xfId="10" applyNumberFormat="1" applyFont="1" applyBorder="1" applyAlignment="1">
      <alignment horizontal="center"/>
    </xf>
    <xf numFmtId="4" fontId="38" fillId="3" borderId="1" xfId="3" applyNumberFormat="1" applyFont="1" applyFill="1" applyBorder="1" applyAlignment="1">
      <alignment horizontal="center" vertical="center" wrapText="1"/>
    </xf>
    <xf numFmtId="4" fontId="38" fillId="3" borderId="1" xfId="3" applyNumberFormat="1" applyFont="1" applyFill="1" applyBorder="1" applyAlignment="1">
      <alignment horizontal="center" vertical="center"/>
    </xf>
    <xf numFmtId="9" fontId="38" fillId="3" borderId="1" xfId="9" applyFont="1" applyFill="1" applyBorder="1" applyAlignment="1">
      <alignment horizontal="right" vertical="center"/>
    </xf>
    <xf numFmtId="4" fontId="38" fillId="0" borderId="1" xfId="3" applyNumberFormat="1" applyFont="1" applyBorder="1" applyAlignment="1">
      <alignment horizontal="center" vertical="center"/>
    </xf>
    <xf numFmtId="0" fontId="33" fillId="23" borderId="1" xfId="5" applyFont="1" applyFill="1" applyBorder="1" applyAlignment="1">
      <alignment horizontal="center" wrapText="1"/>
    </xf>
    <xf numFmtId="4" fontId="33" fillId="23" borderId="1" xfId="3" applyNumberFormat="1" applyFont="1" applyFill="1" applyBorder="1" applyAlignment="1">
      <alignment horizontal="right" vertical="center"/>
    </xf>
    <xf numFmtId="0" fontId="64" fillId="3" borderId="0" xfId="5" applyFont="1" applyFill="1" applyAlignment="1">
      <alignment horizontal="center"/>
    </xf>
    <xf numFmtId="3" fontId="64" fillId="3" borderId="0" xfId="5" applyNumberFormat="1" applyFont="1" applyFill="1" applyAlignment="1">
      <alignment horizontal="center" vertical="center"/>
    </xf>
    <xf numFmtId="0" fontId="65" fillId="0" borderId="0" xfId="0" applyFont="1"/>
    <xf numFmtId="0" fontId="43" fillId="19" borderId="1" xfId="0" applyFont="1" applyFill="1" applyBorder="1" applyAlignment="1">
      <alignment horizontal="center" vertical="center" wrapText="1"/>
    </xf>
    <xf numFmtId="0" fontId="43" fillId="19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43" fontId="0" fillId="0" borderId="1" xfId="6" applyFont="1" applyFill="1" applyBorder="1" applyAlignment="1"/>
    <xf numFmtId="0" fontId="67" fillId="0" borderId="1" xfId="13" applyFont="1" applyBorder="1" applyAlignment="1">
      <alignment vertical="center"/>
    </xf>
    <xf numFmtId="0" fontId="67" fillId="0" borderId="1" xfId="0" applyFont="1" applyBorder="1" applyAlignment="1">
      <alignment vertical="center"/>
    </xf>
    <xf numFmtId="0" fontId="67" fillId="0" borderId="1" xfId="14" applyFont="1" applyBorder="1" applyAlignment="1">
      <alignment vertical="center"/>
    </xf>
    <xf numFmtId="43" fontId="43" fillId="13" borderId="4" xfId="0" applyNumberFormat="1" applyFont="1" applyFill="1" applyBorder="1"/>
    <xf numFmtId="43" fontId="43" fillId="13" borderId="1" xfId="0" applyNumberFormat="1" applyFont="1" applyFill="1" applyBorder="1"/>
    <xf numFmtId="0" fontId="2" fillId="3" borderId="0" xfId="1" applyFill="1"/>
    <xf numFmtId="14" fontId="0" fillId="3" borderId="1" xfId="0" applyNumberFormat="1" applyFill="1" applyBorder="1"/>
    <xf numFmtId="1" fontId="0" fillId="3" borderId="1" xfId="0" applyNumberFormat="1" applyFill="1" applyBorder="1"/>
    <xf numFmtId="0" fontId="58" fillId="23" borderId="1" xfId="5" applyFont="1" applyFill="1" applyBorder="1" applyAlignment="1">
      <alignment horizontal="center" vertical="center"/>
    </xf>
    <xf numFmtId="0" fontId="46" fillId="0" borderId="1" xfId="0" applyNumberFormat="1" applyFont="1" applyBorder="1" applyAlignment="1">
      <alignment horizontal="center"/>
    </xf>
    <xf numFmtId="43" fontId="39" fillId="0" borderId="1" xfId="6" applyFont="1" applyBorder="1" applyAlignment="1">
      <alignment horizontal="center"/>
    </xf>
    <xf numFmtId="0" fontId="39" fillId="0" borderId="1" xfId="6" applyNumberFormat="1" applyFont="1" applyBorder="1" applyAlignment="1">
      <alignment horizontal="center"/>
    </xf>
    <xf numFmtId="0" fontId="40" fillId="0" borderId="1" xfId="0" applyNumberFormat="1" applyFont="1" applyBorder="1" applyAlignment="1">
      <alignment horizontal="center"/>
    </xf>
    <xf numFmtId="0" fontId="43" fillId="0" borderId="1" xfId="0" applyNumberFormat="1" applyFont="1" applyBorder="1" applyAlignment="1">
      <alignment horizontal="center"/>
    </xf>
    <xf numFmtId="0" fontId="0" fillId="0" borderId="1" xfId="0" applyNumberFormat="1" applyBorder="1"/>
    <xf numFmtId="0" fontId="0" fillId="0" borderId="0" xfId="0" applyNumberFormat="1"/>
    <xf numFmtId="43" fontId="43" fillId="0" borderId="1" xfId="6" applyFont="1" applyBorder="1" applyAlignment="1">
      <alignment horizontal="center"/>
    </xf>
    <xf numFmtId="43" fontId="0" fillId="0" borderId="6" xfId="6" applyFont="1" applyBorder="1" applyAlignment="1">
      <alignment horizontal="right"/>
    </xf>
    <xf numFmtId="43" fontId="0" fillId="0" borderId="6" xfId="6" applyFont="1" applyBorder="1"/>
    <xf numFmtId="1" fontId="46" fillId="0" borderId="1" xfId="1" applyNumberFormat="1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166" fontId="45" fillId="13" borderId="1" xfId="0" applyNumberFormat="1" applyFont="1" applyFill="1" applyBorder="1" applyAlignment="1">
      <alignment horizontal="center" vertical="center" wrapText="1"/>
    </xf>
    <xf numFmtId="166" fontId="46" fillId="0" borderId="1" xfId="0" applyNumberFormat="1" applyFont="1" applyBorder="1" applyAlignment="1">
      <alignment horizontal="center"/>
    </xf>
    <xf numFmtId="166" fontId="0" fillId="0" borderId="0" xfId="0" applyNumberFormat="1"/>
    <xf numFmtId="43" fontId="45" fillId="13" borderId="1" xfId="6" applyFont="1" applyFill="1" applyBorder="1" applyAlignment="1">
      <alignment horizontal="left" vertical="center" wrapText="1"/>
    </xf>
    <xf numFmtId="1" fontId="46" fillId="0" borderId="1" xfId="0" applyNumberFormat="1" applyFont="1" applyBorder="1" applyAlignment="1">
      <alignment horizontal="left" wrapText="1"/>
    </xf>
    <xf numFmtId="0" fontId="0" fillId="3" borderId="2" xfId="0" applyFill="1" applyBorder="1" applyAlignment="1">
      <alignment vertical="center" wrapText="1"/>
    </xf>
    <xf numFmtId="43" fontId="43" fillId="0" borderId="0" xfId="6" applyFont="1"/>
    <xf numFmtId="43" fontId="40" fillId="0" borderId="0" xfId="6" applyFont="1" applyAlignment="1">
      <alignment horizontal="center"/>
    </xf>
    <xf numFmtId="43" fontId="43" fillId="19" borderId="41" xfId="6" applyFont="1" applyFill="1" applyBorder="1" applyAlignment="1">
      <alignment horizontal="center" vertical="center" wrapText="1"/>
    </xf>
    <xf numFmtId="43" fontId="0" fillId="3" borderId="1" xfId="6" applyFont="1" applyFill="1" applyBorder="1"/>
    <xf numFmtId="43" fontId="43" fillId="20" borderId="1" xfId="6" applyFont="1" applyFill="1" applyBorder="1"/>
    <xf numFmtId="43" fontId="43" fillId="21" borderId="1" xfId="6" applyFont="1" applyFill="1" applyBorder="1"/>
    <xf numFmtId="43" fontId="43" fillId="21" borderId="0" xfId="6" applyFont="1" applyFill="1"/>
    <xf numFmtId="43" fontId="43" fillId="0" borderId="0" xfId="6" applyFont="1" applyAlignment="1">
      <alignment horizontal="center"/>
    </xf>
    <xf numFmtId="166" fontId="0" fillId="0" borderId="1" xfId="0" applyNumberFormat="1" applyBorder="1"/>
    <xf numFmtId="9" fontId="4" fillId="4" borderId="1" xfId="9" applyFont="1" applyFill="1" applyBorder="1" applyAlignment="1">
      <alignment vertical="top"/>
    </xf>
    <xf numFmtId="10" fontId="38" fillId="3" borderId="1" xfId="9" applyNumberFormat="1" applyFont="1" applyFill="1" applyBorder="1" applyAlignment="1">
      <alignment horizontal="right" vertical="center"/>
    </xf>
    <xf numFmtId="10" fontId="33" fillId="23" borderId="1" xfId="9" applyNumberFormat="1" applyFont="1" applyFill="1" applyBorder="1" applyAlignment="1">
      <alignment horizontal="center" vertical="center"/>
    </xf>
    <xf numFmtId="0" fontId="39" fillId="17" borderId="27" xfId="0" applyFont="1" applyFill="1" applyBorder="1" applyAlignment="1">
      <alignment horizontal="center"/>
    </xf>
    <xf numFmtId="0" fontId="39" fillId="11" borderId="46" xfId="0" applyFont="1" applyFill="1" applyBorder="1" applyAlignment="1">
      <alignment horizontal="center"/>
    </xf>
    <xf numFmtId="0" fontId="39" fillId="11" borderId="41" xfId="0" applyFont="1" applyFill="1" applyBorder="1" applyAlignment="1">
      <alignment horizontal="center"/>
    </xf>
    <xf numFmtId="0" fontId="39" fillId="11" borderId="47" xfId="0" applyFont="1" applyFill="1" applyBorder="1" applyAlignment="1">
      <alignment horizontal="center"/>
    </xf>
    <xf numFmtId="0" fontId="39" fillId="17" borderId="1" xfId="0" applyFont="1" applyFill="1" applyBorder="1" applyAlignment="1">
      <alignment horizontal="center"/>
    </xf>
    <xf numFmtId="0" fontId="39" fillId="11" borderId="1" xfId="0" applyFont="1" applyFill="1" applyBorder="1"/>
    <xf numFmtId="14" fontId="0" fillId="0" borderId="1" xfId="0" applyNumberFormat="1" applyBorder="1" applyAlignment="1">
      <alignment horizontal="right"/>
    </xf>
    <xf numFmtId="4" fontId="0" fillId="0" borderId="1" xfId="0" applyNumberFormat="1" applyBorder="1"/>
    <xf numFmtId="4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3" fillId="0" borderId="37" xfId="0" applyFont="1" applyBorder="1"/>
    <xf numFmtId="0" fontId="43" fillId="0" borderId="45" xfId="0" applyFont="1" applyBorder="1"/>
    <xf numFmtId="44" fontId="43" fillId="0" borderId="45" xfId="8" applyFont="1" applyBorder="1"/>
    <xf numFmtId="44" fontId="43" fillId="0" borderId="38" xfId="8" applyFont="1" applyBorder="1"/>
    <xf numFmtId="43" fontId="43" fillId="17" borderId="1" xfId="6" applyFont="1" applyFill="1" applyBorder="1"/>
    <xf numFmtId="43" fontId="39" fillId="15" borderId="1" xfId="6" applyFont="1" applyFill="1" applyBorder="1" applyAlignment="1">
      <alignment horizontal="center" vertical="center" wrapText="1"/>
    </xf>
    <xf numFmtId="17" fontId="43" fillId="0" borderId="0" xfId="0" applyNumberFormat="1" applyFont="1"/>
    <xf numFmtId="0" fontId="43" fillId="0" borderId="16" xfId="0" applyFont="1" applyBorder="1"/>
    <xf numFmtId="4" fontId="0" fillId="0" borderId="0" xfId="0" applyNumberFormat="1"/>
    <xf numFmtId="0" fontId="0" fillId="0" borderId="1" xfId="0" applyBorder="1" applyAlignment="1">
      <alignment horizontal="left" wrapText="1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3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3" fillId="0" borderId="6" xfId="0" applyFont="1" applyBorder="1" applyAlignment="1">
      <alignment horizontal="left" vertical="center" wrapText="1"/>
    </xf>
    <xf numFmtId="43" fontId="43" fillId="14" borderId="32" xfId="6" applyFont="1" applyFill="1" applyBorder="1" applyAlignment="1"/>
    <xf numFmtId="0" fontId="69" fillId="24" borderId="1" xfId="0" applyFont="1" applyFill="1" applyBorder="1" applyAlignment="1">
      <alignment horizontal="center"/>
    </xf>
    <xf numFmtId="0" fontId="69" fillId="24" borderId="5" xfId="0" applyFont="1" applyFill="1" applyBorder="1"/>
    <xf numFmtId="0" fontId="0" fillId="0" borderId="2" xfId="0" applyFill="1" applyBorder="1" applyAlignment="1">
      <alignment vertical="center" wrapText="1"/>
    </xf>
    <xf numFmtId="14" fontId="0" fillId="0" borderId="1" xfId="0" applyNumberFormat="1" applyFill="1" applyBorder="1"/>
    <xf numFmtId="1" fontId="0" fillId="0" borderId="1" xfId="0" applyNumberFormat="1" applyFill="1" applyBorder="1"/>
    <xf numFmtId="0" fontId="0" fillId="0" borderId="1" xfId="0" applyFill="1" applyBorder="1"/>
    <xf numFmtId="14" fontId="50" fillId="0" borderId="1" xfId="5" applyNumberFormat="1" applyFont="1" applyFill="1" applyBorder="1"/>
    <xf numFmtId="0" fontId="0" fillId="0" borderId="2" xfId="0" applyFont="1" applyFill="1" applyBorder="1" applyAlignment="1">
      <alignment wrapText="1"/>
    </xf>
    <xf numFmtId="1" fontId="0" fillId="0" borderId="1" xfId="0" applyNumberFormat="1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0" fillId="0" borderId="2" xfId="0" applyFont="1" applyFill="1" applyBorder="1"/>
    <xf numFmtId="43" fontId="0" fillId="0" borderId="1" xfId="6" applyFont="1" applyFill="1" applyBorder="1"/>
    <xf numFmtId="43" fontId="70" fillId="0" borderId="1" xfId="6" applyFont="1" applyFill="1" applyBorder="1"/>
    <xf numFmtId="43" fontId="50" fillId="0" borderId="1" xfId="6" applyFont="1" applyFill="1" applyBorder="1"/>
    <xf numFmtId="43" fontId="69" fillId="0" borderId="0" xfId="6" applyFont="1"/>
    <xf numFmtId="43" fontId="49" fillId="0" borderId="1" xfId="6" applyFont="1" applyBorder="1"/>
    <xf numFmtId="43" fontId="49" fillId="0" borderId="1" xfId="6" applyFont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9" fillId="0" borderId="1" xfId="0" applyFont="1" applyFill="1" applyBorder="1"/>
    <xf numFmtId="43" fontId="43" fillId="0" borderId="1" xfId="6" applyFont="1" applyFill="1" applyBorder="1"/>
    <xf numFmtId="0" fontId="0" fillId="0" borderId="0" xfId="0" applyAlignment="1">
      <alignment horizontal="center"/>
    </xf>
    <xf numFmtId="43" fontId="68" fillId="0" borderId="1" xfId="6" applyFont="1" applyBorder="1" applyAlignment="1">
      <alignment horizontal="left" vertical="center"/>
    </xf>
    <xf numFmtId="43" fontId="43" fillId="19" borderId="1" xfId="6" applyFont="1" applyFill="1" applyBorder="1" applyAlignment="1">
      <alignment vertical="center" wrapText="1"/>
    </xf>
    <xf numFmtId="43" fontId="0" fillId="0" borderId="20" xfId="6" applyFont="1" applyBorder="1" applyAlignment="1">
      <alignment horizontal="center"/>
    </xf>
    <xf numFmtId="43" fontId="0" fillId="0" borderId="0" xfId="0" applyNumberFormat="1" applyAlignment="1">
      <alignment horizontal="center"/>
    </xf>
    <xf numFmtId="43" fontId="43" fillId="0" borderId="38" xfId="0" applyNumberFormat="1" applyFont="1" applyBorder="1" applyAlignment="1">
      <alignment horizontal="center"/>
    </xf>
    <xf numFmtId="43" fontId="0" fillId="3" borderId="0" xfId="6" applyFont="1" applyFill="1"/>
    <xf numFmtId="166" fontId="0" fillId="3" borderId="1" xfId="0" applyNumberFormat="1" applyFill="1" applyBorder="1"/>
    <xf numFmtId="166" fontId="43" fillId="19" borderId="1" xfId="0" applyNumberFormat="1" applyFont="1" applyFill="1" applyBorder="1" applyAlignment="1">
      <alignment vertical="center" wrapText="1"/>
    </xf>
    <xf numFmtId="166" fontId="68" fillId="0" borderId="1" xfId="6" applyNumberFormat="1" applyFont="1" applyBorder="1" applyAlignment="1">
      <alignment horizontal="left" vertical="center"/>
    </xf>
    <xf numFmtId="166" fontId="68" fillId="0" borderId="3" xfId="6" applyNumberFormat="1" applyFont="1" applyBorder="1" applyAlignment="1">
      <alignment horizontal="left" vertical="center"/>
    </xf>
    <xf numFmtId="4" fontId="6" fillId="3" borderId="15" xfId="1" applyNumberFormat="1" applyFont="1" applyFill="1" applyBorder="1" applyAlignment="1">
      <alignment horizontal="center"/>
    </xf>
    <xf numFmtId="43" fontId="0" fillId="0" borderId="0" xfId="6" applyFont="1" applyBorder="1"/>
    <xf numFmtId="166" fontId="46" fillId="0" borderId="0" xfId="0" applyNumberFormat="1" applyFont="1" applyBorder="1" applyAlignment="1">
      <alignment horizontal="center"/>
    </xf>
    <xf numFmtId="0" fontId="46" fillId="0" borderId="0" xfId="0" applyNumberFormat="1" applyFont="1" applyBorder="1" applyAlignment="1">
      <alignment horizontal="center"/>
    </xf>
    <xf numFmtId="0" fontId="46" fillId="0" borderId="0" xfId="0" applyFont="1" applyBorder="1" applyAlignment="1">
      <alignment horizontal="center"/>
    </xf>
    <xf numFmtId="1" fontId="46" fillId="0" borderId="0" xfId="1" applyNumberFormat="1" applyFont="1" applyBorder="1" applyAlignment="1">
      <alignment horizontal="left" vertical="center" wrapText="1"/>
    </xf>
    <xf numFmtId="1" fontId="46" fillId="0" borderId="0" xfId="0" applyNumberFormat="1" applyFont="1" applyBorder="1" applyAlignment="1">
      <alignment horizontal="left" wrapText="1"/>
    </xf>
    <xf numFmtId="43" fontId="46" fillId="0" borderId="0" xfId="6" applyFont="1" applyFill="1" applyBorder="1"/>
    <xf numFmtId="43" fontId="46" fillId="0" borderId="0" xfId="6" applyFont="1" applyBorder="1"/>
    <xf numFmtId="0" fontId="0" fillId="0" borderId="0" xfId="0" applyAlignment="1">
      <alignment horizontal="center"/>
    </xf>
    <xf numFmtId="0" fontId="0" fillId="0" borderId="2" xfId="0" applyFill="1" applyBorder="1" applyAlignment="1">
      <alignment wrapText="1"/>
    </xf>
    <xf numFmtId="44" fontId="50" fillId="0" borderId="1" xfId="8" applyFont="1" applyFill="1" applyBorder="1"/>
    <xf numFmtId="0" fontId="0" fillId="0" borderId="0" xfId="0" applyFill="1"/>
    <xf numFmtId="0" fontId="0" fillId="0" borderId="1" xfId="0" applyBorder="1" applyAlignment="1"/>
    <xf numFmtId="43" fontId="0" fillId="0" borderId="0" xfId="6" applyFont="1" applyAlignment="1">
      <alignment wrapText="1"/>
    </xf>
    <xf numFmtId="43" fontId="0" fillId="0" borderId="0" xfId="6" applyFont="1" applyFill="1"/>
    <xf numFmtId="0" fontId="39" fillId="0" borderId="1" xfId="0" applyFont="1" applyBorder="1" applyAlignment="1">
      <alignment horizontal="left"/>
    </xf>
    <xf numFmtId="0" fontId="43" fillId="0" borderId="1" xfId="0" applyFont="1" applyFill="1" applyBorder="1" applyAlignment="1">
      <alignment horizontal="center" wrapText="1"/>
    </xf>
    <xf numFmtId="0" fontId="39" fillId="0" borderId="1" xfId="0" applyFont="1" applyBorder="1" applyAlignment="1">
      <alignment horizontal="center" wrapText="1"/>
    </xf>
    <xf numFmtId="0" fontId="39" fillId="25" borderId="1" xfId="0" applyFont="1" applyFill="1" applyBorder="1" applyAlignment="1">
      <alignment horizontal="center"/>
    </xf>
    <xf numFmtId="0" fontId="39" fillId="0" borderId="7" xfId="0" applyFont="1" applyBorder="1" applyAlignment="1">
      <alignment horizontal="center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/>
    <xf numFmtId="0" fontId="0" fillId="3" borderId="1" xfId="0" applyFont="1" applyFill="1" applyBorder="1" applyAlignment="1">
      <alignment wrapText="1"/>
    </xf>
    <xf numFmtId="44" fontId="0" fillId="3" borderId="1" xfId="0" applyNumberFormat="1" applyFill="1" applyBorder="1"/>
    <xf numFmtId="14" fontId="0" fillId="22" borderId="1" xfId="0" applyNumberFormat="1" applyFill="1" applyBorder="1" applyAlignment="1">
      <alignment horizontal="left"/>
    </xf>
    <xf numFmtId="0" fontId="0" fillId="22" borderId="1" xfId="0" applyFill="1" applyBorder="1"/>
    <xf numFmtId="44" fontId="0" fillId="22" borderId="1" xfId="0" applyNumberFormat="1" applyFill="1" applyBorder="1"/>
    <xf numFmtId="0" fontId="0" fillId="22" borderId="0" xfId="0" applyFill="1"/>
    <xf numFmtId="4" fontId="0" fillId="3" borderId="0" xfId="0" applyNumberFormat="1" applyFill="1"/>
    <xf numFmtId="0" fontId="43" fillId="0" borderId="1" xfId="0" applyFont="1" applyBorder="1" applyAlignment="1">
      <alignment horizontal="center" wrapText="1"/>
    </xf>
    <xf numFmtId="43" fontId="43" fillId="0" borderId="1" xfId="0" applyNumberFormat="1" applyFont="1" applyBorder="1"/>
    <xf numFmtId="0" fontId="39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43" fillId="0" borderId="1" xfId="0" applyFont="1" applyBorder="1" applyAlignment="1">
      <alignment horizontal="right"/>
    </xf>
    <xf numFmtId="0" fontId="71" fillId="0" borderId="1" xfId="0" applyFont="1" applyBorder="1"/>
    <xf numFmtId="14" fontId="0" fillId="0" borderId="1" xfId="0" applyNumberFormat="1" applyFill="1" applyBorder="1" applyAlignment="1">
      <alignment horizontal="left"/>
    </xf>
    <xf numFmtId="44" fontId="0" fillId="0" borderId="1" xfId="0" applyNumberFormat="1" applyFill="1" applyBorder="1"/>
    <xf numFmtId="166" fontId="43" fillId="0" borderId="34" xfId="0" applyNumberFormat="1" applyFont="1" applyBorder="1" applyAlignment="1">
      <alignment horizontal="center"/>
    </xf>
    <xf numFmtId="166" fontId="43" fillId="0" borderId="36" xfId="0" applyNumberFormat="1" applyFont="1" applyBorder="1" applyAlignment="1">
      <alignment horizontal="center"/>
    </xf>
    <xf numFmtId="166" fontId="43" fillId="0" borderId="35" xfId="0" applyNumberFormat="1" applyFont="1" applyBorder="1" applyAlignment="1">
      <alignment horizontal="center"/>
    </xf>
    <xf numFmtId="166" fontId="43" fillId="0" borderId="37" xfId="0" applyNumberFormat="1" applyFont="1" applyBorder="1" applyAlignment="1">
      <alignment horizontal="center"/>
    </xf>
    <xf numFmtId="166" fontId="43" fillId="0" borderId="45" xfId="0" applyNumberFormat="1" applyFont="1" applyBorder="1" applyAlignment="1">
      <alignment horizontal="center"/>
    </xf>
    <xf numFmtId="166" fontId="0" fillId="0" borderId="21" xfId="0" applyNumberFormat="1" applyBorder="1" applyAlignment="1">
      <alignment horizontal="left"/>
    </xf>
    <xf numFmtId="166" fontId="0" fillId="0" borderId="3" xfId="0" applyNumberFormat="1" applyBorder="1" applyAlignment="1">
      <alignment horizontal="left"/>
    </xf>
    <xf numFmtId="0" fontId="43" fillId="0" borderId="0" xfId="0" applyFont="1" applyAlignment="1">
      <alignment horizontal="center"/>
    </xf>
    <xf numFmtId="0" fontId="43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3" fillId="3" borderId="16" xfId="0" applyFont="1" applyFill="1" applyBorder="1" applyAlignment="1">
      <alignment horizontal="center"/>
    </xf>
    <xf numFmtId="0" fontId="43" fillId="14" borderId="26" xfId="0" applyFont="1" applyFill="1" applyBorder="1" applyAlignment="1">
      <alignment horizontal="right"/>
    </xf>
    <xf numFmtId="0" fontId="43" fillId="14" borderId="32" xfId="0" applyFont="1" applyFill="1" applyBorder="1" applyAlignment="1">
      <alignment horizontal="right"/>
    </xf>
    <xf numFmtId="166" fontId="0" fillId="0" borderId="0" xfId="0" applyNumberFormat="1" applyAlignment="1">
      <alignment horizontal="center"/>
    </xf>
    <xf numFmtId="0" fontId="39" fillId="0" borderId="1" xfId="0" applyFont="1" applyBorder="1" applyAlignment="1">
      <alignment horizontal="right"/>
    </xf>
    <xf numFmtId="0" fontId="40" fillId="0" borderId="0" xfId="0" applyFont="1" applyAlignment="1">
      <alignment horizontal="center"/>
    </xf>
    <xf numFmtId="0" fontId="39" fillId="0" borderId="16" xfId="0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43" fontId="41" fillId="0" borderId="16" xfId="6" applyFont="1" applyBorder="1" applyAlignment="1">
      <alignment horizontal="center"/>
    </xf>
    <xf numFmtId="0" fontId="11" fillId="7" borderId="2" xfId="5" applyFont="1" applyFill="1" applyBorder="1" applyAlignment="1">
      <alignment horizontal="center" vertical="center" wrapText="1"/>
    </xf>
    <xf numFmtId="0" fontId="11" fillId="7" borderId="7" xfId="5" applyFont="1" applyFill="1" applyBorder="1" applyAlignment="1">
      <alignment horizontal="center" vertical="center" wrapText="1"/>
    </xf>
    <xf numFmtId="0" fontId="11" fillId="7" borderId="6" xfId="5" applyFont="1" applyFill="1" applyBorder="1" applyAlignment="1">
      <alignment horizontal="center" vertical="center" wrapText="1"/>
    </xf>
    <xf numFmtId="0" fontId="17" fillId="7" borderId="2" xfId="1" applyFont="1" applyFill="1" applyBorder="1" applyAlignment="1">
      <alignment horizontal="center" vertical="center" wrapText="1"/>
    </xf>
    <xf numFmtId="0" fontId="17" fillId="7" borderId="6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 wrapText="1"/>
    </xf>
    <xf numFmtId="0" fontId="12" fillId="7" borderId="3" xfId="1" applyFont="1" applyFill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24" fillId="3" borderId="13" xfId="1" applyFont="1" applyFill="1" applyBorder="1" applyAlignment="1">
      <alignment horizontal="center"/>
    </xf>
    <xf numFmtId="0" fontId="24" fillId="3" borderId="0" xfId="1" applyFont="1" applyFill="1" applyAlignment="1">
      <alignment horizontal="center"/>
    </xf>
    <xf numFmtId="0" fontId="22" fillId="3" borderId="13" xfId="1" applyFont="1" applyFill="1" applyBorder="1" applyAlignment="1">
      <alignment horizontal="center"/>
    </xf>
    <xf numFmtId="0" fontId="22" fillId="3" borderId="0" xfId="1" applyFont="1" applyFill="1" applyAlignment="1">
      <alignment horizontal="center"/>
    </xf>
    <xf numFmtId="0" fontId="22" fillId="3" borderId="15" xfId="1" applyFont="1" applyFill="1" applyBorder="1" applyAlignment="1">
      <alignment horizontal="center"/>
    </xf>
    <xf numFmtId="0" fontId="21" fillId="3" borderId="13" xfId="1" applyFont="1" applyFill="1" applyBorder="1" applyAlignment="1">
      <alignment horizontal="center"/>
    </xf>
    <xf numFmtId="0" fontId="21" fillId="3" borderId="0" xfId="1" applyFont="1" applyFill="1" applyAlignment="1">
      <alignment horizontal="center"/>
    </xf>
    <xf numFmtId="0" fontId="21" fillId="3" borderId="15" xfId="1" applyFont="1" applyFill="1" applyBorder="1" applyAlignment="1">
      <alignment horizontal="center"/>
    </xf>
    <xf numFmtId="0" fontId="20" fillId="3" borderId="13" xfId="1" applyFont="1" applyFill="1" applyBorder="1" applyAlignment="1">
      <alignment horizontal="center"/>
    </xf>
    <xf numFmtId="0" fontId="20" fillId="3" borderId="0" xfId="1" applyFont="1" applyFill="1" applyAlignment="1">
      <alignment horizontal="center"/>
    </xf>
    <xf numFmtId="0" fontId="20" fillId="3" borderId="15" xfId="1" applyFont="1" applyFill="1" applyBorder="1" applyAlignment="1">
      <alignment horizontal="center"/>
    </xf>
    <xf numFmtId="0" fontId="17" fillId="2" borderId="13" xfId="1" applyFont="1" applyFill="1" applyBorder="1" applyAlignment="1">
      <alignment horizontal="center"/>
    </xf>
    <xf numFmtId="0" fontId="17" fillId="2" borderId="0" xfId="1" applyFont="1" applyFill="1" applyAlignment="1">
      <alignment horizontal="center"/>
    </xf>
    <xf numFmtId="0" fontId="17" fillId="2" borderId="15" xfId="1" applyFont="1" applyFill="1" applyBorder="1" applyAlignment="1">
      <alignment horizontal="center"/>
    </xf>
    <xf numFmtId="49" fontId="17" fillId="2" borderId="13" xfId="1" applyNumberFormat="1" applyFont="1" applyFill="1" applyBorder="1" applyAlignment="1">
      <alignment horizontal="center"/>
    </xf>
    <xf numFmtId="49" fontId="17" fillId="2" borderId="0" xfId="1" applyNumberFormat="1" applyFont="1" applyFill="1" applyAlignment="1">
      <alignment horizontal="center"/>
    </xf>
    <xf numFmtId="49" fontId="17" fillId="2" borderId="15" xfId="1" applyNumberFormat="1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/>
    </xf>
    <xf numFmtId="0" fontId="15" fillId="8" borderId="3" xfId="5" applyFont="1" applyFill="1" applyBorder="1" applyAlignment="1">
      <alignment horizontal="center"/>
    </xf>
    <xf numFmtId="0" fontId="14" fillId="7" borderId="1" xfId="1" applyFont="1" applyFill="1" applyBorder="1" applyAlignment="1">
      <alignment horizontal="center" vertical="center"/>
    </xf>
    <xf numFmtId="9" fontId="10" fillId="7" borderId="2" xfId="2" applyFont="1" applyFill="1" applyBorder="1" applyAlignment="1">
      <alignment horizontal="center" vertical="center"/>
    </xf>
    <xf numFmtId="9" fontId="10" fillId="7" borderId="7" xfId="2" applyFont="1" applyFill="1" applyBorder="1" applyAlignment="1">
      <alignment horizontal="center" vertical="center"/>
    </xf>
    <xf numFmtId="9" fontId="10" fillId="7" borderId="6" xfId="2" applyFont="1" applyFill="1" applyBorder="1" applyAlignment="1">
      <alignment horizontal="center" vertical="center"/>
    </xf>
    <xf numFmtId="0" fontId="11" fillId="7" borderId="2" xfId="5" applyFont="1" applyFill="1" applyBorder="1" applyAlignment="1">
      <alignment horizontal="center" vertical="center" textRotation="90"/>
    </xf>
    <xf numFmtId="0" fontId="11" fillId="7" borderId="6" xfId="5" applyFont="1" applyFill="1" applyBorder="1" applyAlignment="1">
      <alignment horizontal="center" vertical="center" textRotation="90"/>
    </xf>
    <xf numFmtId="0" fontId="35" fillId="0" borderId="0" xfId="1" applyFont="1" applyAlignment="1">
      <alignment horizontal="center"/>
    </xf>
    <xf numFmtId="0" fontId="34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31" fillId="12" borderId="27" xfId="1" applyFont="1" applyFill="1" applyBorder="1" applyAlignment="1">
      <alignment horizontal="center" vertical="center"/>
    </xf>
    <xf numFmtId="0" fontId="31" fillId="12" borderId="25" xfId="1" applyFont="1" applyFill="1" applyBorder="1" applyAlignment="1">
      <alignment horizontal="center" vertical="center"/>
    </xf>
    <xf numFmtId="0" fontId="31" fillId="12" borderId="28" xfId="1" applyFont="1" applyFill="1" applyBorder="1" applyAlignment="1">
      <alignment horizontal="center" wrapText="1"/>
    </xf>
    <xf numFmtId="0" fontId="31" fillId="12" borderId="26" xfId="1" applyFont="1" applyFill="1" applyBorder="1" applyAlignment="1">
      <alignment horizontal="center" wrapText="1"/>
    </xf>
    <xf numFmtId="0" fontId="31" fillId="12" borderId="27" xfId="1" applyFont="1" applyFill="1" applyBorder="1" applyAlignment="1">
      <alignment horizontal="center" wrapText="1"/>
    </xf>
    <xf numFmtId="0" fontId="31" fillId="12" borderId="25" xfId="1" applyFont="1" applyFill="1" applyBorder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17" borderId="5" xfId="0" applyFont="1" applyFill="1" applyBorder="1" applyAlignment="1">
      <alignment horizontal="center" vertical="center" wrapText="1"/>
    </xf>
    <xf numFmtId="0" fontId="39" fillId="17" borderId="4" xfId="0" applyFont="1" applyFill="1" applyBorder="1" applyAlignment="1">
      <alignment horizontal="center" vertical="center" wrapText="1"/>
    </xf>
    <xf numFmtId="0" fontId="39" fillId="18" borderId="2" xfId="0" applyFont="1" applyFill="1" applyBorder="1" applyAlignment="1">
      <alignment horizontal="center" vertical="center" wrapText="1"/>
    </xf>
    <xf numFmtId="0" fontId="39" fillId="18" borderId="7" xfId="0" applyFont="1" applyFill="1" applyBorder="1" applyAlignment="1">
      <alignment horizontal="center" vertical="center" wrapText="1"/>
    </xf>
    <xf numFmtId="0" fontId="39" fillId="18" borderId="6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43" fillId="17" borderId="5" xfId="0" applyFont="1" applyFill="1" applyBorder="1" applyAlignment="1">
      <alignment horizontal="center"/>
    </xf>
    <xf numFmtId="0" fontId="43" fillId="17" borderId="4" xfId="0" applyFont="1" applyFill="1" applyBorder="1" applyAlignment="1">
      <alignment horizontal="center"/>
    </xf>
    <xf numFmtId="0" fontId="43" fillId="17" borderId="3" xfId="0" applyFont="1" applyFill="1" applyBorder="1" applyAlignment="1">
      <alignment horizontal="center"/>
    </xf>
    <xf numFmtId="0" fontId="39" fillId="17" borderId="29" xfId="0" applyFont="1" applyFill="1" applyBorder="1" applyAlignment="1">
      <alignment horizontal="center"/>
    </xf>
    <xf numFmtId="0" fontId="39" fillId="17" borderId="49" xfId="0" applyFont="1" applyFill="1" applyBorder="1" applyAlignment="1">
      <alignment horizontal="center"/>
    </xf>
    <xf numFmtId="0" fontId="39" fillId="17" borderId="5" xfId="0" applyFont="1" applyFill="1" applyBorder="1" applyAlignment="1">
      <alignment horizontal="center"/>
    </xf>
    <xf numFmtId="0" fontId="39" fillId="17" borderId="3" xfId="0" applyFont="1" applyFill="1" applyBorder="1" applyAlignment="1">
      <alignment horizontal="center"/>
    </xf>
    <xf numFmtId="0" fontId="39" fillId="11" borderId="5" xfId="0" applyFont="1" applyFill="1" applyBorder="1" applyAlignment="1">
      <alignment horizontal="center"/>
    </xf>
    <xf numFmtId="0" fontId="39" fillId="11" borderId="4" xfId="0" applyFont="1" applyFill="1" applyBorder="1" applyAlignment="1">
      <alignment horizontal="center"/>
    </xf>
    <xf numFmtId="0" fontId="39" fillId="11" borderId="48" xfId="0" applyFont="1" applyFill="1" applyBorder="1" applyAlignment="1">
      <alignment horizontal="center"/>
    </xf>
    <xf numFmtId="0" fontId="40" fillId="0" borderId="32" xfId="0" applyFont="1" applyBorder="1" applyAlignment="1">
      <alignment horizontal="center"/>
    </xf>
    <xf numFmtId="0" fontId="39" fillId="17" borderId="43" xfId="0" applyFont="1" applyFill="1" applyBorder="1" applyAlignment="1">
      <alignment horizontal="center"/>
    </xf>
    <xf numFmtId="0" fontId="39" fillId="17" borderId="44" xfId="0" applyFont="1" applyFill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17" xfId="0" applyFont="1" applyBorder="1" applyAlignment="1">
      <alignment horizontal="center" wrapText="1"/>
    </xf>
    <xf numFmtId="0" fontId="43" fillId="0" borderId="7" xfId="0" applyFont="1" applyBorder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43" fillId="20" borderId="1" xfId="0" applyFont="1" applyFill="1" applyBorder="1" applyAlignment="1">
      <alignment horizontal="center" vertical="center" wrapText="1"/>
    </xf>
    <xf numFmtId="0" fontId="43" fillId="20" borderId="5" xfId="0" applyFont="1" applyFill="1" applyBorder="1" applyAlignment="1">
      <alignment horizontal="center" vertical="center" wrapText="1"/>
    </xf>
    <xf numFmtId="0" fontId="43" fillId="20" borderId="3" xfId="0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43" fillId="21" borderId="5" xfId="0" applyFont="1" applyFill="1" applyBorder="1" applyAlignment="1">
      <alignment horizontal="center" vertical="center" wrapText="1"/>
    </xf>
    <xf numFmtId="0" fontId="43" fillId="21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41" fillId="0" borderId="0" xfId="0" applyFont="1" applyAlignment="1">
      <alignment horizontal="center"/>
    </xf>
    <xf numFmtId="0" fontId="43" fillId="19" borderId="1" xfId="0" applyFont="1" applyFill="1" applyBorder="1" applyAlignment="1">
      <alignment horizontal="center"/>
    </xf>
    <xf numFmtId="0" fontId="43" fillId="0" borderId="39" xfId="0" applyFont="1" applyBorder="1" applyAlignment="1">
      <alignment horizontal="left"/>
    </xf>
    <xf numFmtId="0" fontId="43" fillId="3" borderId="2" xfId="0" applyFont="1" applyFill="1" applyBorder="1" applyAlignment="1">
      <alignment horizontal="center" vertical="center"/>
    </xf>
    <xf numFmtId="0" fontId="43" fillId="3" borderId="7" xfId="0" applyFont="1" applyFill="1" applyBorder="1" applyAlignment="1">
      <alignment horizontal="center" vertical="center"/>
    </xf>
    <xf numFmtId="0" fontId="43" fillId="3" borderId="6" xfId="0" applyFont="1" applyFill="1" applyBorder="1" applyAlignment="1">
      <alignment horizontal="center" vertical="center"/>
    </xf>
    <xf numFmtId="0" fontId="63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3" fillId="13" borderId="5" xfId="0" applyFont="1" applyFill="1" applyBorder="1" applyAlignment="1">
      <alignment horizontal="center"/>
    </xf>
    <xf numFmtId="0" fontId="43" fillId="13" borderId="4" xfId="0" applyFont="1" applyFill="1" applyBorder="1" applyAlignment="1">
      <alignment horizontal="center"/>
    </xf>
    <xf numFmtId="0" fontId="58" fillId="23" borderId="42" xfId="5" applyFont="1" applyFill="1" applyBorder="1" applyAlignment="1">
      <alignment horizontal="center" vertical="center"/>
    </xf>
    <xf numFmtId="0" fontId="58" fillId="20" borderId="1" xfId="5" applyFont="1" applyFill="1" applyBorder="1" applyAlignment="1">
      <alignment horizontal="center" vertical="center"/>
    </xf>
    <xf numFmtId="0" fontId="58" fillId="23" borderId="1" xfId="5" applyFont="1" applyFill="1" applyBorder="1" applyAlignment="1">
      <alignment horizontal="center" vertical="center"/>
    </xf>
    <xf numFmtId="0" fontId="51" fillId="0" borderId="0" xfId="5" applyFont="1" applyAlignment="1">
      <alignment horizontal="center"/>
    </xf>
    <xf numFmtId="0" fontId="53" fillId="0" borderId="0" xfId="5" applyFont="1" applyAlignment="1">
      <alignment horizontal="center"/>
    </xf>
    <xf numFmtId="0" fontId="54" fillId="0" borderId="0" xfId="5" applyFont="1" applyAlignment="1">
      <alignment horizontal="center"/>
    </xf>
    <xf numFmtId="17" fontId="0" fillId="0" borderId="0" xfId="0" applyNumberFormat="1" applyAlignment="1">
      <alignment horizontal="center"/>
    </xf>
    <xf numFmtId="0" fontId="58" fillId="22" borderId="28" xfId="5" applyFont="1" applyFill="1" applyBorder="1" applyAlignment="1">
      <alignment horizontal="center" vertical="center"/>
    </xf>
    <xf numFmtId="0" fontId="58" fillId="22" borderId="42" xfId="5" applyFont="1" applyFill="1" applyBorder="1" applyAlignment="1">
      <alignment horizontal="center" vertical="center"/>
    </xf>
    <xf numFmtId="0" fontId="58" fillId="23" borderId="43" xfId="5" applyFont="1" applyFill="1" applyBorder="1" applyAlignment="1">
      <alignment horizontal="center" vertical="center"/>
    </xf>
    <xf numFmtId="0" fontId="58" fillId="23" borderId="44" xfId="5" applyFont="1" applyFill="1" applyBorder="1" applyAlignment="1">
      <alignment horizontal="center" vertical="center"/>
    </xf>
    <xf numFmtId="0" fontId="55" fillId="0" borderId="0" xfId="5" applyFont="1" applyAlignment="1">
      <alignment horizontal="center" wrapText="1"/>
    </xf>
    <xf numFmtId="0" fontId="55" fillId="0" borderId="0" xfId="5" applyFont="1" applyAlignment="1">
      <alignment horizontal="center"/>
    </xf>
  </cellXfs>
  <cellStyles count="17">
    <cellStyle name="Millares" xfId="6" builtinId="3"/>
    <cellStyle name="Millares 2" xfId="3"/>
    <cellStyle name="Millares 2 2" xfId="4"/>
    <cellStyle name="Millares 2 4" xfId="10"/>
    <cellStyle name="Millares 3" xfId="7"/>
    <cellStyle name="Moneda" xfId="8" builtinId="4"/>
    <cellStyle name="Normal" xfId="0" builtinId="0"/>
    <cellStyle name="Normal 10" xfId="13"/>
    <cellStyle name="Normal 11" xfId="14"/>
    <cellStyle name="Normal 12 3" xfId="16"/>
    <cellStyle name="Normal 17" xfId="11"/>
    <cellStyle name="Normal 2" xfId="1"/>
    <cellStyle name="Normal 2 2" xfId="5"/>
    <cellStyle name="Normal 2 4" xfId="12"/>
    <cellStyle name="Normal 9" xfId="15"/>
    <cellStyle name="Porcentaje" xfId="9" builtinId="5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58511</xdr:colOff>
      <xdr:row>0</xdr:row>
      <xdr:rowOff>91168</xdr:rowOff>
    </xdr:from>
    <xdr:to>
      <xdr:col>1</xdr:col>
      <xdr:colOff>834208</xdr:colOff>
      <xdr:row>3</xdr:row>
      <xdr:rowOff>148318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F740DEE7-31C4-4FFD-BD64-78D50EEA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11" y="91168"/>
          <a:ext cx="1566612" cy="618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163"/>
  <sheetViews>
    <sheetView view="pageBreakPreview" topLeftCell="F56" zoomScale="112" zoomScaleNormal="90" zoomScaleSheetLayoutView="112" workbookViewId="0">
      <selection activeCell="F56" sqref="A1:XFD1048576"/>
    </sheetView>
  </sheetViews>
  <sheetFormatPr baseColWidth="10" defaultRowHeight="15" x14ac:dyDescent="0.25"/>
  <cols>
    <col min="1" max="1" width="11.85546875" style="279" bestFit="1" customWidth="1"/>
    <col min="2" max="2" width="17.7109375" style="342" customWidth="1"/>
    <col min="3" max="4" width="18.85546875" style="342" customWidth="1"/>
    <col min="5" max="5" width="51.5703125" style="276" customWidth="1"/>
    <col min="6" max="6" width="43.28515625" style="276" customWidth="1"/>
    <col min="7" max="7" width="15.140625" style="186" bestFit="1" customWidth="1"/>
    <col min="8" max="8" width="16.42578125" customWidth="1"/>
  </cols>
  <sheetData>
    <row r="5" spans="1:8" x14ac:dyDescent="0.25">
      <c r="A5" s="399" t="s">
        <v>425</v>
      </c>
      <c r="B5" s="399"/>
      <c r="C5" s="399"/>
      <c r="D5" s="399"/>
      <c r="E5" s="399"/>
      <c r="F5" s="399"/>
      <c r="G5" s="399"/>
      <c r="H5" s="399"/>
    </row>
    <row r="6" spans="1:8" x14ac:dyDescent="0.25">
      <c r="A6" s="400" t="s">
        <v>426</v>
      </c>
      <c r="B6" s="400"/>
      <c r="C6" s="400"/>
      <c r="D6" s="400"/>
      <c r="E6" s="400"/>
      <c r="F6" s="400"/>
      <c r="G6" s="400"/>
      <c r="H6" s="400"/>
    </row>
    <row r="7" spans="1:8" x14ac:dyDescent="0.25">
      <c r="A7" s="401" t="s">
        <v>695</v>
      </c>
      <c r="B7" s="401"/>
      <c r="C7" s="401"/>
      <c r="D7" s="401"/>
      <c r="E7" s="401"/>
      <c r="F7" s="401"/>
      <c r="G7" s="401"/>
      <c r="H7" s="401"/>
    </row>
    <row r="8" spans="1:8" x14ac:dyDescent="0.25">
      <c r="A8" s="405"/>
      <c r="B8" s="405"/>
      <c r="C8" s="405"/>
      <c r="D8" s="405"/>
      <c r="E8" s="405"/>
      <c r="F8" s="405"/>
      <c r="G8" s="405"/>
      <c r="H8" s="405"/>
    </row>
    <row r="9" spans="1:8" s="132" customFormat="1" x14ac:dyDescent="0.25">
      <c r="A9" s="402" t="s">
        <v>735</v>
      </c>
      <c r="B9" s="402"/>
      <c r="C9" s="402"/>
      <c r="D9" s="402"/>
      <c r="E9" s="402"/>
      <c r="F9" s="402"/>
      <c r="G9" s="402"/>
      <c r="H9" s="402"/>
    </row>
    <row r="10" spans="1:8" ht="27" x14ac:dyDescent="0.25">
      <c r="A10" s="277" t="s">
        <v>374</v>
      </c>
      <c r="B10" s="133" t="s">
        <v>428</v>
      </c>
      <c r="C10" s="133" t="s">
        <v>429</v>
      </c>
      <c r="D10" s="133" t="s">
        <v>430</v>
      </c>
      <c r="E10" s="134" t="s">
        <v>431</v>
      </c>
      <c r="F10" s="280" t="s">
        <v>432</v>
      </c>
      <c r="G10" s="135" t="s">
        <v>433</v>
      </c>
      <c r="H10" s="135" t="s">
        <v>434</v>
      </c>
    </row>
    <row r="11" spans="1:8" ht="42.75" x14ac:dyDescent="0.3">
      <c r="A11" s="278">
        <v>45778</v>
      </c>
      <c r="B11" s="265"/>
      <c r="C11" s="136">
        <v>130</v>
      </c>
      <c r="D11" s="136"/>
      <c r="E11" s="275" t="s">
        <v>747</v>
      </c>
      <c r="F11" s="281" t="s">
        <v>748</v>
      </c>
      <c r="G11" s="137">
        <v>247030.86</v>
      </c>
      <c r="H11" s="138">
        <v>236563.45</v>
      </c>
    </row>
    <row r="12" spans="1:8" ht="57" x14ac:dyDescent="0.3">
      <c r="A12" s="278">
        <v>45778</v>
      </c>
      <c r="B12" s="265"/>
      <c r="C12" s="136">
        <f>+C11+1</f>
        <v>131</v>
      </c>
      <c r="D12" s="136"/>
      <c r="E12" s="275" t="s">
        <v>749</v>
      </c>
      <c r="F12" s="281" t="s">
        <v>750</v>
      </c>
      <c r="G12" s="137">
        <v>760000</v>
      </c>
      <c r="H12" s="138">
        <v>722000</v>
      </c>
    </row>
    <row r="13" spans="1:8" ht="15.75" x14ac:dyDescent="0.3">
      <c r="A13" s="278">
        <v>45779</v>
      </c>
      <c r="B13" s="265"/>
      <c r="C13" s="136">
        <f t="shared" ref="C13:C37" si="0">+C12+1</f>
        <v>132</v>
      </c>
      <c r="D13" s="136"/>
      <c r="E13" s="275" t="s">
        <v>751</v>
      </c>
      <c r="F13" s="281" t="s">
        <v>752</v>
      </c>
      <c r="G13" s="137">
        <v>104532.2</v>
      </c>
      <c r="H13" s="138">
        <v>104532.2</v>
      </c>
    </row>
    <row r="14" spans="1:8" ht="71.25" x14ac:dyDescent="0.3">
      <c r="A14" s="278">
        <v>45779</v>
      </c>
      <c r="B14" s="265"/>
      <c r="C14" s="136">
        <f t="shared" si="0"/>
        <v>133</v>
      </c>
      <c r="D14" s="136"/>
      <c r="E14" s="275" t="s">
        <v>753</v>
      </c>
      <c r="F14" s="281" t="s">
        <v>754</v>
      </c>
      <c r="G14" s="137">
        <v>200000</v>
      </c>
      <c r="H14" s="138">
        <v>200000</v>
      </c>
    </row>
    <row r="15" spans="1:8" ht="42.75" x14ac:dyDescent="0.3">
      <c r="A15" s="278">
        <v>45779</v>
      </c>
      <c r="B15" s="265"/>
      <c r="C15" s="136">
        <f t="shared" si="0"/>
        <v>134</v>
      </c>
      <c r="D15" s="136"/>
      <c r="E15" s="275" t="s">
        <v>751</v>
      </c>
      <c r="F15" s="281" t="s">
        <v>755</v>
      </c>
      <c r="G15" s="137">
        <v>104427.01</v>
      </c>
      <c r="H15" s="138">
        <v>104427.01</v>
      </c>
    </row>
    <row r="16" spans="1:8" ht="15.75" x14ac:dyDescent="0.3">
      <c r="A16" s="278"/>
      <c r="B16" s="265"/>
      <c r="C16" s="136">
        <f t="shared" si="0"/>
        <v>135</v>
      </c>
      <c r="D16" s="136"/>
      <c r="E16" s="275" t="s">
        <v>885</v>
      </c>
      <c r="F16" s="275" t="s">
        <v>885</v>
      </c>
      <c r="G16" s="137">
        <v>0</v>
      </c>
      <c r="H16" s="138">
        <v>0</v>
      </c>
    </row>
    <row r="17" spans="1:8" ht="15.75" x14ac:dyDescent="0.3">
      <c r="A17" s="278"/>
      <c r="B17" s="265"/>
      <c r="C17" s="136">
        <f t="shared" si="0"/>
        <v>136</v>
      </c>
      <c r="D17" s="136"/>
      <c r="E17" s="275" t="s">
        <v>886</v>
      </c>
      <c r="F17" s="275" t="s">
        <v>886</v>
      </c>
      <c r="G17" s="137">
        <v>0</v>
      </c>
      <c r="H17" s="138">
        <v>0</v>
      </c>
    </row>
    <row r="18" spans="1:8" ht="15.75" x14ac:dyDescent="0.3">
      <c r="A18" s="278"/>
      <c r="B18" s="265"/>
      <c r="C18" s="136">
        <f t="shared" si="0"/>
        <v>137</v>
      </c>
      <c r="D18" s="136"/>
      <c r="E18" s="275" t="s">
        <v>882</v>
      </c>
      <c r="F18" s="281"/>
      <c r="G18" s="137">
        <v>26821.4</v>
      </c>
      <c r="H18" s="138">
        <v>25684</v>
      </c>
    </row>
    <row r="19" spans="1:8" ht="15.75" x14ac:dyDescent="0.3">
      <c r="A19" s="278"/>
      <c r="B19" s="265"/>
      <c r="C19" s="136">
        <f t="shared" si="0"/>
        <v>138</v>
      </c>
      <c r="D19" s="136"/>
      <c r="E19" s="275" t="s">
        <v>883</v>
      </c>
      <c r="F19" s="281"/>
      <c r="G19" s="137">
        <v>26821.4</v>
      </c>
      <c r="H19" s="138">
        <v>25684</v>
      </c>
    </row>
    <row r="20" spans="1:8" ht="71.25" x14ac:dyDescent="0.3">
      <c r="A20" s="278">
        <v>45784</v>
      </c>
      <c r="B20" s="265"/>
      <c r="C20" s="136">
        <f t="shared" si="0"/>
        <v>139</v>
      </c>
      <c r="D20" s="136"/>
      <c r="E20" s="275" t="s">
        <v>756</v>
      </c>
      <c r="F20" s="281" t="s">
        <v>757</v>
      </c>
      <c r="G20" s="137">
        <v>53100</v>
      </c>
      <c r="H20" s="138">
        <v>50850</v>
      </c>
    </row>
    <row r="21" spans="1:8" ht="42.75" x14ac:dyDescent="0.3">
      <c r="A21" s="278"/>
      <c r="B21" s="265"/>
      <c r="C21" s="136">
        <f t="shared" si="0"/>
        <v>140</v>
      </c>
      <c r="D21" s="136"/>
      <c r="E21" s="275" t="s">
        <v>880</v>
      </c>
      <c r="F21" s="281" t="s">
        <v>881</v>
      </c>
      <c r="G21" s="137">
        <v>70800</v>
      </c>
      <c r="H21" s="138">
        <v>70800</v>
      </c>
    </row>
    <row r="22" spans="1:8" ht="42.75" x14ac:dyDescent="0.3">
      <c r="A22" s="278">
        <v>45784</v>
      </c>
      <c r="B22" s="265"/>
      <c r="C22" s="136">
        <f t="shared" si="0"/>
        <v>141</v>
      </c>
      <c r="D22" s="136"/>
      <c r="E22" s="275" t="s">
        <v>758</v>
      </c>
      <c r="F22" s="281" t="s">
        <v>759</v>
      </c>
      <c r="G22" s="137">
        <v>10000</v>
      </c>
      <c r="H22" s="138">
        <v>10000</v>
      </c>
    </row>
    <row r="23" spans="1:8" ht="15.75" x14ac:dyDescent="0.3">
      <c r="A23" s="278"/>
      <c r="B23" s="265"/>
      <c r="C23" s="136">
        <f t="shared" si="0"/>
        <v>142</v>
      </c>
      <c r="D23" s="136"/>
      <c r="E23" s="314" t="s">
        <v>887</v>
      </c>
      <c r="F23" s="314"/>
      <c r="G23" s="125">
        <v>50958</v>
      </c>
      <c r="H23" s="137">
        <v>50958</v>
      </c>
    </row>
    <row r="24" spans="1:8" ht="57" x14ac:dyDescent="0.3">
      <c r="A24" s="278">
        <v>45789</v>
      </c>
      <c r="B24" s="265"/>
      <c r="C24" s="136">
        <f t="shared" si="0"/>
        <v>143</v>
      </c>
      <c r="D24" s="136"/>
      <c r="E24" s="275" t="s">
        <v>739</v>
      </c>
      <c r="F24" s="281" t="s">
        <v>760</v>
      </c>
      <c r="G24" s="137">
        <v>621205.1</v>
      </c>
      <c r="H24" s="138">
        <v>594882.85</v>
      </c>
    </row>
    <row r="25" spans="1:8" ht="42.75" x14ac:dyDescent="0.3">
      <c r="A25" s="278"/>
      <c r="B25" s="265"/>
      <c r="C25" s="136">
        <f t="shared" si="0"/>
        <v>144</v>
      </c>
      <c r="D25" s="136"/>
      <c r="E25" s="275" t="s">
        <v>878</v>
      </c>
      <c r="F25" s="281" t="s">
        <v>879</v>
      </c>
      <c r="G25" s="137">
        <v>172000</v>
      </c>
      <c r="H25" s="138">
        <v>170573.26</v>
      </c>
    </row>
    <row r="26" spans="1:8" ht="57" x14ac:dyDescent="0.3">
      <c r="A26" s="278">
        <v>45790</v>
      </c>
      <c r="B26" s="265"/>
      <c r="C26" s="136">
        <f t="shared" si="0"/>
        <v>145</v>
      </c>
      <c r="D26" s="136"/>
      <c r="E26" s="275" t="s">
        <v>761</v>
      </c>
      <c r="F26" s="281" t="s">
        <v>762</v>
      </c>
      <c r="G26" s="137">
        <v>846850</v>
      </c>
      <c r="H26" s="138">
        <v>804507.5</v>
      </c>
    </row>
    <row r="27" spans="1:8" ht="42.75" x14ac:dyDescent="0.3">
      <c r="A27" s="278">
        <v>45790</v>
      </c>
      <c r="B27" s="265"/>
      <c r="C27" s="136">
        <f t="shared" si="0"/>
        <v>146</v>
      </c>
      <c r="D27" s="136"/>
      <c r="E27" s="275" t="s">
        <v>763</v>
      </c>
      <c r="F27" s="281" t="s">
        <v>764</v>
      </c>
      <c r="G27" s="137">
        <v>108265</v>
      </c>
      <c r="H27" s="138">
        <v>103677.5</v>
      </c>
    </row>
    <row r="28" spans="1:8" ht="57" x14ac:dyDescent="0.3">
      <c r="A28" s="278">
        <v>45790</v>
      </c>
      <c r="B28" s="265"/>
      <c r="C28" s="136">
        <f t="shared" si="0"/>
        <v>147</v>
      </c>
      <c r="D28" s="136"/>
      <c r="E28" s="275" t="s">
        <v>765</v>
      </c>
      <c r="F28" s="281" t="s">
        <v>766</v>
      </c>
      <c r="G28" s="137">
        <v>23868</v>
      </c>
      <c r="H28" s="138">
        <v>23868</v>
      </c>
    </row>
    <row r="29" spans="1:8" ht="45.75" x14ac:dyDescent="0.3">
      <c r="A29" s="291">
        <v>45790</v>
      </c>
      <c r="B29" s="315"/>
      <c r="C29" s="136">
        <f t="shared" si="0"/>
        <v>148</v>
      </c>
      <c r="D29" s="2"/>
      <c r="E29" s="314" t="s">
        <v>767</v>
      </c>
      <c r="F29" s="314" t="s">
        <v>768</v>
      </c>
      <c r="G29" s="125">
        <v>32000</v>
      </c>
      <c r="H29" s="125">
        <v>30400</v>
      </c>
    </row>
    <row r="30" spans="1:8" ht="42.75" x14ac:dyDescent="0.3">
      <c r="A30" s="278">
        <v>45790</v>
      </c>
      <c r="B30" s="265"/>
      <c r="C30" s="136">
        <f t="shared" si="0"/>
        <v>149</v>
      </c>
      <c r="D30" s="136"/>
      <c r="E30" s="275" t="s">
        <v>769</v>
      </c>
      <c r="F30" s="281" t="s">
        <v>770</v>
      </c>
      <c r="G30" s="137">
        <v>227500</v>
      </c>
      <c r="H30" s="138">
        <v>216125</v>
      </c>
    </row>
    <row r="31" spans="1:8" ht="28.5" x14ac:dyDescent="0.3">
      <c r="A31" s="278">
        <v>45790</v>
      </c>
      <c r="B31" s="265"/>
      <c r="C31" s="136">
        <f t="shared" si="0"/>
        <v>150</v>
      </c>
      <c r="D31" s="136"/>
      <c r="E31" s="275" t="s">
        <v>769</v>
      </c>
      <c r="F31" s="281" t="s">
        <v>771</v>
      </c>
      <c r="G31" s="137">
        <v>271400</v>
      </c>
      <c r="H31" s="138">
        <v>259900</v>
      </c>
    </row>
    <row r="32" spans="1:8" ht="57" x14ac:dyDescent="0.3">
      <c r="A32" s="278">
        <v>45790</v>
      </c>
      <c r="B32" s="265"/>
      <c r="C32" s="136">
        <f t="shared" si="0"/>
        <v>151</v>
      </c>
      <c r="D32" s="136"/>
      <c r="E32" s="275" t="s">
        <v>761</v>
      </c>
      <c r="F32" s="281" t="s">
        <v>772</v>
      </c>
      <c r="G32" s="137">
        <v>1590510.2</v>
      </c>
      <c r="H32" s="138">
        <v>1523115.7</v>
      </c>
    </row>
    <row r="33" spans="1:8" ht="42.75" x14ac:dyDescent="0.3">
      <c r="A33" s="278">
        <v>45791</v>
      </c>
      <c r="B33" s="265"/>
      <c r="C33" s="136">
        <f t="shared" si="0"/>
        <v>152</v>
      </c>
      <c r="D33" s="136"/>
      <c r="E33" s="275" t="s">
        <v>773</v>
      </c>
      <c r="F33" s="281" t="s">
        <v>774</v>
      </c>
      <c r="G33" s="137">
        <v>39530</v>
      </c>
      <c r="H33" s="138">
        <v>37855</v>
      </c>
    </row>
    <row r="34" spans="1:8" ht="28.5" x14ac:dyDescent="0.3">
      <c r="A34" s="278">
        <v>45791</v>
      </c>
      <c r="B34" s="265"/>
      <c r="C34" s="136">
        <f t="shared" si="0"/>
        <v>153</v>
      </c>
      <c r="D34" s="136"/>
      <c r="E34" s="275" t="s">
        <v>775</v>
      </c>
      <c r="F34" s="281" t="s">
        <v>776</v>
      </c>
      <c r="G34" s="137">
        <v>91875</v>
      </c>
      <c r="H34" s="138">
        <v>87281.25</v>
      </c>
    </row>
    <row r="35" spans="1:8" ht="42.75" x14ac:dyDescent="0.3">
      <c r="A35" s="278">
        <v>45791</v>
      </c>
      <c r="B35" s="265"/>
      <c r="C35" s="136">
        <f t="shared" si="0"/>
        <v>154</v>
      </c>
      <c r="D35" s="136"/>
      <c r="E35" s="275" t="s">
        <v>731</v>
      </c>
      <c r="F35" s="281" t="s">
        <v>777</v>
      </c>
      <c r="G35" s="137">
        <v>98506.4</v>
      </c>
      <c r="H35" s="138">
        <v>94332.4</v>
      </c>
    </row>
    <row r="36" spans="1:8" ht="45.75" x14ac:dyDescent="0.3">
      <c r="A36" s="278">
        <v>45791</v>
      </c>
      <c r="B36" s="265"/>
      <c r="C36" s="136">
        <f t="shared" si="0"/>
        <v>155</v>
      </c>
      <c r="D36" s="136"/>
      <c r="E36" s="314" t="s">
        <v>884</v>
      </c>
      <c r="F36" s="314" t="s">
        <v>978</v>
      </c>
      <c r="G36" s="125">
        <v>141128</v>
      </c>
      <c r="H36" s="1">
        <v>135148</v>
      </c>
    </row>
    <row r="37" spans="1:8" ht="42.75" x14ac:dyDescent="0.3">
      <c r="A37" s="278"/>
      <c r="B37" s="265"/>
      <c r="C37" s="136">
        <f t="shared" si="0"/>
        <v>156</v>
      </c>
      <c r="D37" s="136"/>
      <c r="E37" s="275" t="s">
        <v>778</v>
      </c>
      <c r="F37" s="281" t="s">
        <v>779</v>
      </c>
      <c r="G37" s="137">
        <v>263200</v>
      </c>
      <c r="H37" s="138">
        <v>250040</v>
      </c>
    </row>
    <row r="38" spans="1:8" ht="28.5" x14ac:dyDescent="0.3">
      <c r="A38" s="278"/>
      <c r="B38" s="265"/>
      <c r="C38" s="136">
        <f>+C37+1</f>
        <v>157</v>
      </c>
      <c r="D38" s="136"/>
      <c r="E38" s="275" t="s">
        <v>851</v>
      </c>
      <c r="F38" t="s">
        <v>852</v>
      </c>
      <c r="G38" s="137">
        <v>70000</v>
      </c>
      <c r="H38" s="138">
        <v>70000</v>
      </c>
    </row>
    <row r="39" spans="1:8" ht="28.5" x14ac:dyDescent="0.3">
      <c r="A39" s="278"/>
      <c r="B39" s="265"/>
      <c r="C39" s="136">
        <f t="shared" ref="C39:C54" si="1">+C38+1</f>
        <v>158</v>
      </c>
      <c r="D39" s="136"/>
      <c r="E39" s="275" t="s">
        <v>853</v>
      </c>
      <c r="F39" s="281" t="s">
        <v>854</v>
      </c>
      <c r="G39" s="137">
        <v>42000</v>
      </c>
      <c r="H39" s="138">
        <v>39900</v>
      </c>
    </row>
    <row r="40" spans="1:8" ht="71.25" x14ac:dyDescent="0.3">
      <c r="A40" s="278"/>
      <c r="B40" s="265"/>
      <c r="C40" s="136">
        <f t="shared" si="1"/>
        <v>159</v>
      </c>
      <c r="D40" s="136"/>
      <c r="E40" s="275" t="s">
        <v>855</v>
      </c>
      <c r="F40" s="281" t="s">
        <v>856</v>
      </c>
      <c r="G40" s="137">
        <v>37996</v>
      </c>
      <c r="H40" s="138">
        <v>36386</v>
      </c>
    </row>
    <row r="41" spans="1:8" ht="42.75" x14ac:dyDescent="0.3">
      <c r="A41" s="278"/>
      <c r="B41" s="265"/>
      <c r="C41" s="136">
        <f t="shared" si="1"/>
        <v>160</v>
      </c>
      <c r="D41" s="136"/>
      <c r="E41" s="275" t="s">
        <v>855</v>
      </c>
      <c r="F41" s="281" t="s">
        <v>857</v>
      </c>
      <c r="G41" s="137">
        <v>9912</v>
      </c>
      <c r="H41" s="138">
        <v>9492</v>
      </c>
    </row>
    <row r="42" spans="1:8" ht="28.5" x14ac:dyDescent="0.3">
      <c r="A42" s="278"/>
      <c r="B42" s="265"/>
      <c r="C42" s="136">
        <f t="shared" si="1"/>
        <v>161</v>
      </c>
      <c r="D42" s="136"/>
      <c r="E42" s="275" t="s">
        <v>736</v>
      </c>
      <c r="F42" s="281" t="s">
        <v>858</v>
      </c>
      <c r="G42" s="137">
        <v>65468.29</v>
      </c>
      <c r="H42" s="138">
        <v>62694.21</v>
      </c>
    </row>
    <row r="43" spans="1:8" ht="28.5" x14ac:dyDescent="0.3">
      <c r="A43" s="278"/>
      <c r="B43" s="265"/>
      <c r="C43" s="136">
        <f t="shared" si="1"/>
        <v>162</v>
      </c>
      <c r="D43" s="136"/>
      <c r="E43" s="275" t="s">
        <v>859</v>
      </c>
      <c r="F43" s="281" t="s">
        <v>860</v>
      </c>
      <c r="G43" s="137">
        <v>88100</v>
      </c>
      <c r="H43" s="138">
        <v>83695</v>
      </c>
    </row>
    <row r="44" spans="1:8" ht="15.75" x14ac:dyDescent="0.3">
      <c r="A44" s="278"/>
      <c r="B44" s="265"/>
      <c r="C44" s="136">
        <f t="shared" si="1"/>
        <v>163</v>
      </c>
      <c r="D44" s="136"/>
      <c r="E44" s="275" t="s">
        <v>979</v>
      </c>
      <c r="F44" s="275" t="s">
        <v>979</v>
      </c>
      <c r="G44" s="137">
        <v>0</v>
      </c>
      <c r="H44" s="138">
        <v>0</v>
      </c>
    </row>
    <row r="45" spans="1:8" ht="15.75" x14ac:dyDescent="0.3">
      <c r="A45" s="278"/>
      <c r="B45" s="265"/>
      <c r="C45" s="136">
        <f t="shared" si="1"/>
        <v>164</v>
      </c>
      <c r="D45" s="136"/>
      <c r="E45" s="275" t="s">
        <v>979</v>
      </c>
      <c r="F45" s="275" t="s">
        <v>979</v>
      </c>
      <c r="G45" s="137">
        <v>0</v>
      </c>
      <c r="H45" s="138">
        <v>0</v>
      </c>
    </row>
    <row r="46" spans="1:8" ht="42.75" x14ac:dyDescent="0.3">
      <c r="A46" s="278"/>
      <c r="B46" s="265"/>
      <c r="C46" s="136">
        <f t="shared" si="1"/>
        <v>165</v>
      </c>
      <c r="D46" s="136"/>
      <c r="E46" s="275" t="s">
        <v>861</v>
      </c>
      <c r="F46" s="281" t="s">
        <v>862</v>
      </c>
      <c r="G46" s="137">
        <v>104504.21</v>
      </c>
      <c r="H46" s="138">
        <v>104504.21</v>
      </c>
    </row>
    <row r="47" spans="1:8" ht="42.75" x14ac:dyDescent="0.3">
      <c r="A47" s="278"/>
      <c r="B47" s="265"/>
      <c r="C47" s="136">
        <f t="shared" si="1"/>
        <v>166</v>
      </c>
      <c r="D47" s="136"/>
      <c r="E47" s="275" t="s">
        <v>863</v>
      </c>
      <c r="F47" s="281" t="s">
        <v>864</v>
      </c>
      <c r="G47" s="137">
        <v>17033</v>
      </c>
      <c r="H47" s="138">
        <v>17033</v>
      </c>
    </row>
    <row r="48" spans="1:8" ht="42.75" x14ac:dyDescent="0.3">
      <c r="A48" s="278"/>
      <c r="B48" s="265"/>
      <c r="C48" s="136">
        <f t="shared" si="1"/>
        <v>167</v>
      </c>
      <c r="D48" s="136"/>
      <c r="E48" s="275" t="s">
        <v>865</v>
      </c>
      <c r="F48" s="281" t="s">
        <v>866</v>
      </c>
      <c r="G48" s="137">
        <v>25000</v>
      </c>
      <c r="H48" s="138">
        <v>25000</v>
      </c>
    </row>
    <row r="49" spans="1:8" ht="42.75" x14ac:dyDescent="0.3">
      <c r="A49" s="278"/>
      <c r="B49" s="265"/>
      <c r="C49" s="136">
        <f t="shared" si="1"/>
        <v>168</v>
      </c>
      <c r="D49" s="136"/>
      <c r="E49" s="275" t="s">
        <v>867</v>
      </c>
      <c r="F49" s="281" t="s">
        <v>868</v>
      </c>
      <c r="G49" s="137">
        <v>24000</v>
      </c>
      <c r="H49" s="138">
        <v>22800</v>
      </c>
    </row>
    <row r="50" spans="1:8" ht="42.75" x14ac:dyDescent="0.3">
      <c r="A50" s="278"/>
      <c r="B50" s="265"/>
      <c r="C50" s="136">
        <f t="shared" si="1"/>
        <v>169</v>
      </c>
      <c r="D50" s="136"/>
      <c r="E50" s="275" t="s">
        <v>869</v>
      </c>
      <c r="F50" s="281" t="s">
        <v>870</v>
      </c>
      <c r="G50" s="137">
        <v>229519.78</v>
      </c>
      <c r="H50" s="138">
        <v>229519.78</v>
      </c>
    </row>
    <row r="51" spans="1:8" ht="42.75" x14ac:dyDescent="0.3">
      <c r="A51" s="278"/>
      <c r="B51" s="265"/>
      <c r="C51" s="136">
        <f t="shared" si="1"/>
        <v>170</v>
      </c>
      <c r="D51" s="136"/>
      <c r="E51" s="275" t="s">
        <v>871</v>
      </c>
      <c r="F51" s="281" t="s">
        <v>872</v>
      </c>
      <c r="G51" s="137">
        <v>23205</v>
      </c>
      <c r="H51" s="138">
        <v>23205</v>
      </c>
    </row>
    <row r="52" spans="1:8" ht="42.75" x14ac:dyDescent="0.3">
      <c r="A52" s="278"/>
      <c r="B52" s="265"/>
      <c r="C52" s="136">
        <f t="shared" si="1"/>
        <v>171</v>
      </c>
      <c r="D52" s="136"/>
      <c r="E52" s="275" t="s">
        <v>855</v>
      </c>
      <c r="F52" s="281" t="s">
        <v>873</v>
      </c>
      <c r="G52" s="137">
        <v>4578.3999999999996</v>
      </c>
      <c r="H52" s="138">
        <v>4349.4799999999996</v>
      </c>
    </row>
    <row r="53" spans="1:8" ht="85.5" x14ac:dyDescent="0.3">
      <c r="A53" s="278"/>
      <c r="B53" s="265"/>
      <c r="C53" s="136">
        <f t="shared" si="1"/>
        <v>172</v>
      </c>
      <c r="D53" s="136"/>
      <c r="E53" s="275" t="s">
        <v>874</v>
      </c>
      <c r="F53" s="281" t="s">
        <v>875</v>
      </c>
      <c r="G53" s="137">
        <v>1705100</v>
      </c>
      <c r="H53" s="138">
        <v>1705100</v>
      </c>
    </row>
    <row r="54" spans="1:8" ht="99.75" x14ac:dyDescent="0.3">
      <c r="A54" s="278"/>
      <c r="B54" s="265"/>
      <c r="C54" s="136">
        <f t="shared" si="1"/>
        <v>173</v>
      </c>
      <c r="D54" s="136"/>
      <c r="E54" s="275" t="s">
        <v>876</v>
      </c>
      <c r="F54" s="281" t="s">
        <v>877</v>
      </c>
      <c r="G54" s="137">
        <v>50000</v>
      </c>
      <c r="H54" s="138">
        <v>50000</v>
      </c>
    </row>
    <row r="55" spans="1:8" ht="57" x14ac:dyDescent="0.3">
      <c r="A55" s="278"/>
      <c r="B55" s="265">
        <v>1778</v>
      </c>
      <c r="C55" s="136"/>
      <c r="D55" s="136"/>
      <c r="E55" s="275" t="s">
        <v>653</v>
      </c>
      <c r="F55" s="281" t="s">
        <v>783</v>
      </c>
      <c r="G55" s="137">
        <v>675748.48</v>
      </c>
      <c r="H55" s="138"/>
    </row>
    <row r="56" spans="1:8" ht="42.75" x14ac:dyDescent="0.3">
      <c r="A56" s="278"/>
      <c r="B56" s="265">
        <v>1781</v>
      </c>
      <c r="C56" s="136"/>
      <c r="D56" s="136"/>
      <c r="E56" s="275" t="s">
        <v>832</v>
      </c>
      <c r="F56" s="281" t="s">
        <v>811</v>
      </c>
      <c r="G56" s="137">
        <v>1649337.32</v>
      </c>
      <c r="H56" s="138"/>
    </row>
    <row r="57" spans="1:8" ht="57" x14ac:dyDescent="0.3">
      <c r="A57" s="278"/>
      <c r="B57" s="265">
        <v>1785</v>
      </c>
      <c r="C57" s="136"/>
      <c r="D57" s="136"/>
      <c r="E57" s="275" t="s">
        <v>653</v>
      </c>
      <c r="F57" s="281" t="s">
        <v>784</v>
      </c>
      <c r="G57" s="137">
        <v>817323.12</v>
      </c>
      <c r="H57" s="138"/>
    </row>
    <row r="58" spans="1:8" ht="42.75" x14ac:dyDescent="0.3">
      <c r="A58" s="278"/>
      <c r="B58" s="265">
        <v>1790</v>
      </c>
      <c r="C58" s="136"/>
      <c r="D58" s="136"/>
      <c r="E58" s="275" t="s">
        <v>731</v>
      </c>
      <c r="F58" s="281" t="s">
        <v>793</v>
      </c>
      <c r="G58" s="137">
        <v>247068.4</v>
      </c>
      <c r="H58" s="138"/>
    </row>
    <row r="59" spans="1:8" ht="42.75" x14ac:dyDescent="0.3">
      <c r="A59" s="278"/>
      <c r="B59" s="265">
        <v>1801</v>
      </c>
      <c r="C59" s="136"/>
      <c r="D59" s="136"/>
      <c r="E59" s="275" t="s">
        <v>746</v>
      </c>
      <c r="F59" s="281" t="s">
        <v>812</v>
      </c>
      <c r="G59" s="137">
        <v>270102</v>
      </c>
      <c r="H59" s="138"/>
    </row>
    <row r="60" spans="1:8" ht="42.75" x14ac:dyDescent="0.3">
      <c r="A60" s="278"/>
      <c r="B60" s="265">
        <v>1805</v>
      </c>
      <c r="C60" s="136"/>
      <c r="D60" s="136"/>
      <c r="E60" s="275" t="s">
        <v>743</v>
      </c>
      <c r="F60" s="281" t="s">
        <v>804</v>
      </c>
      <c r="G60" s="137">
        <v>939471.75</v>
      </c>
      <c r="H60" s="138"/>
    </row>
    <row r="61" spans="1:8" ht="42.75" x14ac:dyDescent="0.3">
      <c r="A61" s="278"/>
      <c r="B61" s="265">
        <v>1809</v>
      </c>
      <c r="C61" s="136"/>
      <c r="D61" s="136"/>
      <c r="E61" s="275" t="s">
        <v>672</v>
      </c>
      <c r="F61" s="281" t="s">
        <v>806</v>
      </c>
      <c r="G61" s="137">
        <v>210000</v>
      </c>
      <c r="H61" s="138"/>
    </row>
    <row r="62" spans="1:8" ht="42.75" x14ac:dyDescent="0.3">
      <c r="A62" s="278"/>
      <c r="B62" s="265">
        <v>1813</v>
      </c>
      <c r="C62" s="136"/>
      <c r="D62" s="136"/>
      <c r="E62" s="275" t="s">
        <v>746</v>
      </c>
      <c r="F62" s="281" t="s">
        <v>813</v>
      </c>
      <c r="G62" s="137">
        <v>270102</v>
      </c>
      <c r="H62" s="138"/>
    </row>
    <row r="63" spans="1:8" ht="57" x14ac:dyDescent="0.3">
      <c r="A63" s="278"/>
      <c r="B63" s="265">
        <v>1820</v>
      </c>
      <c r="C63" s="136"/>
      <c r="D63" s="136"/>
      <c r="E63" s="275" t="s">
        <v>738</v>
      </c>
      <c r="F63" s="281" t="s">
        <v>809</v>
      </c>
      <c r="G63" s="137">
        <v>91569.9</v>
      </c>
      <c r="H63" s="138"/>
    </row>
    <row r="64" spans="1:8" ht="42.75" x14ac:dyDescent="0.3">
      <c r="A64" s="278"/>
      <c r="B64" s="265">
        <v>1835</v>
      </c>
      <c r="C64" s="136"/>
      <c r="D64" s="136"/>
      <c r="E64" s="275" t="s">
        <v>654</v>
      </c>
      <c r="F64" s="281" t="s">
        <v>786</v>
      </c>
      <c r="G64" s="137">
        <v>1937560</v>
      </c>
      <c r="H64" s="138"/>
    </row>
    <row r="65" spans="1:8" ht="42.75" x14ac:dyDescent="0.3">
      <c r="A65" s="278"/>
      <c r="B65" s="265">
        <v>1839</v>
      </c>
      <c r="C65" s="136"/>
      <c r="D65" s="136"/>
      <c r="E65" s="275" t="s">
        <v>654</v>
      </c>
      <c r="F65" s="281" t="s">
        <v>787</v>
      </c>
      <c r="G65" s="137">
        <v>276519</v>
      </c>
      <c r="H65" s="138"/>
    </row>
    <row r="66" spans="1:8" ht="28.5" x14ac:dyDescent="0.3">
      <c r="A66" s="278"/>
      <c r="B66" s="265">
        <v>1841</v>
      </c>
      <c r="C66" s="136"/>
      <c r="D66" s="136"/>
      <c r="E66" s="275" t="s">
        <v>698</v>
      </c>
      <c r="F66" s="281" t="s">
        <v>827</v>
      </c>
      <c r="G66" s="137">
        <v>443970.11</v>
      </c>
      <c r="H66" s="138"/>
    </row>
    <row r="67" spans="1:8" ht="42.75" x14ac:dyDescent="0.3">
      <c r="A67" s="278"/>
      <c r="B67" s="265">
        <v>1845</v>
      </c>
      <c r="C67" s="136"/>
      <c r="D67" s="136"/>
      <c r="E67" s="275" t="s">
        <v>833</v>
      </c>
      <c r="F67" s="281" t="s">
        <v>815</v>
      </c>
      <c r="G67" s="137">
        <v>54008.6</v>
      </c>
      <c r="H67" s="138"/>
    </row>
    <row r="68" spans="1:8" ht="42.75" x14ac:dyDescent="0.3">
      <c r="A68" s="278"/>
      <c r="B68" s="265">
        <v>1849</v>
      </c>
      <c r="C68" s="136"/>
      <c r="D68" s="136"/>
      <c r="E68" s="275" t="s">
        <v>833</v>
      </c>
      <c r="F68" s="281" t="s">
        <v>816</v>
      </c>
      <c r="G68" s="137">
        <v>152500</v>
      </c>
      <c r="H68" s="138"/>
    </row>
    <row r="69" spans="1:8" ht="42.75" x14ac:dyDescent="0.3">
      <c r="A69" s="278"/>
      <c r="B69" s="265">
        <v>1853</v>
      </c>
      <c r="C69" s="136"/>
      <c r="D69" s="136"/>
      <c r="E69" s="275" t="s">
        <v>838</v>
      </c>
      <c r="F69" s="281" t="s">
        <v>826</v>
      </c>
      <c r="G69" s="137">
        <v>698555.7</v>
      </c>
      <c r="H69" s="138"/>
    </row>
    <row r="70" spans="1:8" ht="42.75" x14ac:dyDescent="0.3">
      <c r="A70" s="278"/>
      <c r="B70" s="265">
        <v>1857</v>
      </c>
      <c r="C70" s="136"/>
      <c r="D70" s="136"/>
      <c r="E70" s="275" t="s">
        <v>657</v>
      </c>
      <c r="F70" s="281" t="s">
        <v>792</v>
      </c>
      <c r="G70" s="137">
        <v>271400</v>
      </c>
      <c r="H70" s="138"/>
    </row>
    <row r="71" spans="1:8" ht="57" x14ac:dyDescent="0.3">
      <c r="A71" s="278"/>
      <c r="B71" s="265">
        <v>1861</v>
      </c>
      <c r="C71" s="136"/>
      <c r="D71" s="136"/>
      <c r="E71" s="275" t="s">
        <v>743</v>
      </c>
      <c r="F71" s="281" t="s">
        <v>805</v>
      </c>
      <c r="G71" s="137">
        <v>508060.8</v>
      </c>
      <c r="H71" s="138"/>
    </row>
    <row r="72" spans="1:8" ht="42.75" x14ac:dyDescent="0.3">
      <c r="A72" s="278"/>
      <c r="B72" s="265">
        <v>1865</v>
      </c>
      <c r="C72" s="136"/>
      <c r="D72" s="136"/>
      <c r="E72" s="275" t="s">
        <v>722</v>
      </c>
      <c r="F72" s="281" t="s">
        <v>810</v>
      </c>
      <c r="G72" s="137">
        <v>177000</v>
      </c>
      <c r="H72" s="138"/>
    </row>
    <row r="73" spans="1:8" ht="42.75" x14ac:dyDescent="0.3">
      <c r="A73" s="278"/>
      <c r="B73" s="265">
        <v>1873</v>
      </c>
      <c r="C73" s="136"/>
      <c r="D73" s="136"/>
      <c r="E73" s="275" t="s">
        <v>831</v>
      </c>
      <c r="F73" s="281" t="s">
        <v>788</v>
      </c>
      <c r="G73" s="137">
        <v>57151.44</v>
      </c>
      <c r="H73" s="138"/>
    </row>
    <row r="74" spans="1:8" ht="42.75" x14ac:dyDescent="0.3">
      <c r="A74" s="278"/>
      <c r="B74" s="265">
        <v>1875</v>
      </c>
      <c r="C74" s="136"/>
      <c r="D74" s="136"/>
      <c r="E74" s="275" t="s">
        <v>744</v>
      </c>
      <c r="F74" s="281" t="s">
        <v>795</v>
      </c>
      <c r="G74" s="137">
        <v>129520</v>
      </c>
      <c r="H74" s="138"/>
    </row>
    <row r="75" spans="1:8" ht="42.75" x14ac:dyDescent="0.3">
      <c r="A75" s="278"/>
      <c r="B75" s="265">
        <v>1879</v>
      </c>
      <c r="C75" s="136"/>
      <c r="D75" s="136"/>
      <c r="E75" s="275" t="s">
        <v>671</v>
      </c>
      <c r="F75" s="281" t="s">
        <v>824</v>
      </c>
      <c r="G75" s="137">
        <v>179360</v>
      </c>
      <c r="H75" s="138"/>
    </row>
    <row r="76" spans="1:8" ht="42.75" x14ac:dyDescent="0.3">
      <c r="A76" s="278"/>
      <c r="B76" s="265">
        <v>1890</v>
      </c>
      <c r="C76" s="136"/>
      <c r="D76" s="136"/>
      <c r="E76" s="275" t="s">
        <v>699</v>
      </c>
      <c r="F76" s="281" t="s">
        <v>807</v>
      </c>
      <c r="G76" s="137">
        <v>199620</v>
      </c>
      <c r="H76" s="138"/>
    </row>
    <row r="77" spans="1:8" ht="42.75" x14ac:dyDescent="0.3">
      <c r="A77" s="278"/>
      <c r="B77" s="265">
        <v>1897</v>
      </c>
      <c r="C77" s="136"/>
      <c r="D77" s="136"/>
      <c r="E77" s="275" t="s">
        <v>699</v>
      </c>
      <c r="F77" s="281" t="s">
        <v>808</v>
      </c>
      <c r="G77" s="137">
        <v>242945</v>
      </c>
      <c r="H77" s="138"/>
    </row>
    <row r="78" spans="1:8" ht="42.75" x14ac:dyDescent="0.3">
      <c r="A78" s="278"/>
      <c r="B78" s="265">
        <v>1900</v>
      </c>
      <c r="C78" s="136"/>
      <c r="D78" s="136"/>
      <c r="E78" s="275" t="s">
        <v>657</v>
      </c>
      <c r="F78" s="281" t="s">
        <v>732</v>
      </c>
      <c r="G78" s="137">
        <v>270000</v>
      </c>
      <c r="H78" s="138"/>
    </row>
    <row r="79" spans="1:8" ht="42.75" x14ac:dyDescent="0.3">
      <c r="A79" s="278"/>
      <c r="B79" s="265">
        <v>1902</v>
      </c>
      <c r="C79" s="136"/>
      <c r="D79" s="136"/>
      <c r="E79" s="275" t="s">
        <v>693</v>
      </c>
      <c r="F79" s="281" t="s">
        <v>814</v>
      </c>
      <c r="G79" s="137">
        <v>44000</v>
      </c>
      <c r="H79" s="138"/>
    </row>
    <row r="80" spans="1:8" ht="57" x14ac:dyDescent="0.3">
      <c r="A80" s="278"/>
      <c r="B80" s="265">
        <v>1910</v>
      </c>
      <c r="C80" s="136"/>
      <c r="D80" s="136"/>
      <c r="E80" s="275" t="s">
        <v>697</v>
      </c>
      <c r="F80" s="281" t="s">
        <v>802</v>
      </c>
      <c r="G80" s="137">
        <v>209745</v>
      </c>
      <c r="H80" s="138"/>
    </row>
    <row r="81" spans="1:8" ht="42.75" x14ac:dyDescent="0.3">
      <c r="A81" s="278"/>
      <c r="B81" s="265">
        <v>1917</v>
      </c>
      <c r="C81" s="136"/>
      <c r="D81" s="136"/>
      <c r="E81" s="275" t="s">
        <v>697</v>
      </c>
      <c r="F81" s="281" t="s">
        <v>801</v>
      </c>
      <c r="G81" s="137">
        <v>271990</v>
      </c>
      <c r="H81" s="138"/>
    </row>
    <row r="82" spans="1:8" ht="42.75" x14ac:dyDescent="0.3">
      <c r="A82" s="278"/>
      <c r="B82" s="265">
        <v>1920</v>
      </c>
      <c r="C82" s="136"/>
      <c r="D82" s="136"/>
      <c r="E82" s="275" t="s">
        <v>655</v>
      </c>
      <c r="F82" s="281" t="s">
        <v>789</v>
      </c>
      <c r="G82" s="137">
        <v>112460</v>
      </c>
      <c r="H82" s="138"/>
    </row>
    <row r="83" spans="1:8" ht="57" x14ac:dyDescent="0.3">
      <c r="A83" s="278"/>
      <c r="B83" s="265">
        <v>1923</v>
      </c>
      <c r="C83" s="136"/>
      <c r="D83" s="136"/>
      <c r="E83" s="275" t="s">
        <v>671</v>
      </c>
      <c r="F83" s="281" t="s">
        <v>822</v>
      </c>
      <c r="G83" s="137">
        <v>205342</v>
      </c>
      <c r="H83" s="138"/>
    </row>
    <row r="84" spans="1:8" ht="42.75" x14ac:dyDescent="0.3">
      <c r="A84" s="278"/>
      <c r="B84" s="265">
        <v>1927</v>
      </c>
      <c r="C84" s="136"/>
      <c r="D84" s="136"/>
      <c r="E84" s="275" t="s">
        <v>700</v>
      </c>
      <c r="F84" s="281" t="s">
        <v>797</v>
      </c>
      <c r="G84" s="137">
        <v>269657.5</v>
      </c>
      <c r="H84" s="138"/>
    </row>
    <row r="85" spans="1:8" ht="42.75" x14ac:dyDescent="0.3">
      <c r="A85" s="278"/>
      <c r="B85" s="265">
        <v>1931</v>
      </c>
      <c r="C85" s="136"/>
      <c r="D85" s="136"/>
      <c r="E85" s="275" t="s">
        <v>696</v>
      </c>
      <c r="F85" s="281" t="s">
        <v>798</v>
      </c>
      <c r="G85" s="137">
        <v>190315</v>
      </c>
      <c r="H85" s="138"/>
    </row>
    <row r="86" spans="1:8" ht="42.75" x14ac:dyDescent="0.3">
      <c r="A86" s="278"/>
      <c r="B86" s="265">
        <v>1936</v>
      </c>
      <c r="C86" s="136"/>
      <c r="D86" s="136"/>
      <c r="E86" s="275" t="s">
        <v>656</v>
      </c>
      <c r="F86" s="281" t="s">
        <v>791</v>
      </c>
      <c r="G86" s="137">
        <v>250000</v>
      </c>
      <c r="H86" s="138"/>
    </row>
    <row r="87" spans="1:8" ht="45.75" x14ac:dyDescent="0.3">
      <c r="A87" s="278"/>
      <c r="B87" s="265">
        <v>1940</v>
      </c>
      <c r="C87" s="136"/>
      <c r="D87" s="136"/>
      <c r="E87" s="314" t="s">
        <v>778</v>
      </c>
      <c r="F87" s="314" t="s">
        <v>780</v>
      </c>
      <c r="G87" s="125">
        <v>436930</v>
      </c>
      <c r="H87" s="1"/>
    </row>
    <row r="88" spans="1:8" ht="42.75" x14ac:dyDescent="0.3">
      <c r="A88" s="278"/>
      <c r="B88" s="265">
        <v>1944</v>
      </c>
      <c r="C88" s="136"/>
      <c r="D88" s="136"/>
      <c r="E88" s="275" t="s">
        <v>834</v>
      </c>
      <c r="F88" s="281" t="s">
        <v>817</v>
      </c>
      <c r="G88" s="137">
        <v>263750</v>
      </c>
      <c r="H88" s="138"/>
    </row>
    <row r="89" spans="1:8" ht="42.75" x14ac:dyDescent="0.3">
      <c r="A89" s="278"/>
      <c r="B89" s="265">
        <v>1956</v>
      </c>
      <c r="C89" s="136"/>
      <c r="D89" s="136"/>
      <c r="E89" s="275" t="s">
        <v>730</v>
      </c>
      <c r="F89" s="281" t="s">
        <v>799</v>
      </c>
      <c r="G89" s="137">
        <v>165624.79999999999</v>
      </c>
      <c r="H89" s="138"/>
    </row>
    <row r="90" spans="1:8" ht="42.75" x14ac:dyDescent="0.3">
      <c r="A90" s="278"/>
      <c r="B90" s="265">
        <v>1961</v>
      </c>
      <c r="C90" s="136"/>
      <c r="D90" s="136"/>
      <c r="E90" s="275" t="s">
        <v>744</v>
      </c>
      <c r="F90" s="281" t="s">
        <v>794</v>
      </c>
      <c r="G90" s="137">
        <v>115050</v>
      </c>
      <c r="H90" s="138"/>
    </row>
    <row r="91" spans="1:8" ht="57" x14ac:dyDescent="0.3">
      <c r="A91" s="278"/>
      <c r="B91" s="265">
        <v>1968</v>
      </c>
      <c r="C91" s="136"/>
      <c r="D91" s="136"/>
      <c r="E91" s="275" t="s">
        <v>730</v>
      </c>
      <c r="F91" s="281" t="s">
        <v>800</v>
      </c>
      <c r="G91" s="137">
        <v>97704</v>
      </c>
      <c r="H91" s="138"/>
    </row>
    <row r="92" spans="1:8" ht="42.75" x14ac:dyDescent="0.3">
      <c r="A92" s="278"/>
      <c r="B92" s="265">
        <v>1969</v>
      </c>
      <c r="C92" s="136"/>
      <c r="D92" s="136"/>
      <c r="E92" s="275" t="s">
        <v>671</v>
      </c>
      <c r="F92" s="281" t="s">
        <v>823</v>
      </c>
      <c r="G92" s="137">
        <v>251945</v>
      </c>
      <c r="H92" s="138"/>
    </row>
    <row r="93" spans="1:8" ht="42.75" x14ac:dyDescent="0.3">
      <c r="A93" s="278"/>
      <c r="B93" s="265">
        <v>1975</v>
      </c>
      <c r="C93" s="136"/>
      <c r="D93" s="136"/>
      <c r="E93" s="275" t="s">
        <v>654</v>
      </c>
      <c r="F93" s="281" t="s">
        <v>785</v>
      </c>
      <c r="G93" s="137">
        <v>132257.5</v>
      </c>
      <c r="H93" s="138"/>
    </row>
    <row r="94" spans="1:8" ht="42.75" x14ac:dyDescent="0.3">
      <c r="A94" s="278"/>
      <c r="B94" s="265">
        <v>1977</v>
      </c>
      <c r="C94" s="136"/>
      <c r="D94" s="136"/>
      <c r="E94" s="275" t="s">
        <v>740</v>
      </c>
      <c r="F94" s="281" t="s">
        <v>796</v>
      </c>
      <c r="G94" s="137">
        <v>664800</v>
      </c>
      <c r="H94" s="138"/>
    </row>
    <row r="95" spans="1:8" ht="42.75" x14ac:dyDescent="0.3">
      <c r="A95" s="278"/>
      <c r="B95" s="265">
        <v>1982</v>
      </c>
      <c r="C95" s="136"/>
      <c r="D95" s="136"/>
      <c r="E95" s="275" t="s">
        <v>834</v>
      </c>
      <c r="F95" s="281" t="s">
        <v>818</v>
      </c>
      <c r="G95" s="137">
        <v>270000</v>
      </c>
      <c r="H95" s="138"/>
    </row>
    <row r="96" spans="1:8" ht="42.75" x14ac:dyDescent="0.3">
      <c r="A96" s="278"/>
      <c r="B96" s="265">
        <v>1988</v>
      </c>
      <c r="C96" s="136"/>
      <c r="D96" s="136"/>
      <c r="E96" s="275" t="s">
        <v>778</v>
      </c>
      <c r="F96" s="281" t="s">
        <v>781</v>
      </c>
      <c r="G96" s="137">
        <v>234200</v>
      </c>
      <c r="H96" s="138"/>
    </row>
    <row r="97" spans="1:8" ht="42.75" x14ac:dyDescent="0.3">
      <c r="A97" s="278"/>
      <c r="B97" s="265">
        <v>1989</v>
      </c>
      <c r="C97" s="136"/>
      <c r="D97" s="136"/>
      <c r="E97" s="275" t="s">
        <v>743</v>
      </c>
      <c r="F97" s="281" t="s">
        <v>803</v>
      </c>
      <c r="G97" s="137">
        <v>666086.40000000002</v>
      </c>
      <c r="H97" s="138"/>
    </row>
    <row r="98" spans="1:8" ht="57" x14ac:dyDescent="0.3">
      <c r="A98" s="278"/>
      <c r="B98" s="265">
        <v>1995</v>
      </c>
      <c r="C98" s="136"/>
      <c r="D98" s="136"/>
      <c r="E98" s="275" t="s">
        <v>656</v>
      </c>
      <c r="F98" s="281" t="s">
        <v>790</v>
      </c>
      <c r="G98" s="137">
        <v>132246.62</v>
      </c>
      <c r="H98" s="138"/>
    </row>
    <row r="99" spans="1:8" ht="28.5" x14ac:dyDescent="0.3">
      <c r="A99" s="278"/>
      <c r="B99" s="265">
        <v>1997</v>
      </c>
      <c r="C99" s="136"/>
      <c r="D99" s="136"/>
      <c r="E99" s="275" t="s">
        <v>698</v>
      </c>
      <c r="F99" s="281" t="s">
        <v>828</v>
      </c>
      <c r="G99" s="137">
        <v>45000</v>
      </c>
      <c r="H99" s="138"/>
    </row>
    <row r="100" spans="1:8" ht="28.5" x14ac:dyDescent="0.3">
      <c r="A100" s="278"/>
      <c r="B100" s="265">
        <v>1999</v>
      </c>
      <c r="C100" s="136"/>
      <c r="D100" s="136"/>
      <c r="E100" s="275" t="s">
        <v>698</v>
      </c>
      <c r="F100" s="281" t="s">
        <v>830</v>
      </c>
      <c r="G100" s="137">
        <v>1304420.1399999999</v>
      </c>
      <c r="H100" s="138"/>
    </row>
    <row r="101" spans="1:8" ht="57" x14ac:dyDescent="0.3">
      <c r="A101" s="278"/>
      <c r="B101" s="265">
        <v>2003</v>
      </c>
      <c r="C101" s="136"/>
      <c r="D101" s="136"/>
      <c r="E101" s="275" t="s">
        <v>836</v>
      </c>
      <c r="F101" s="281" t="s">
        <v>821</v>
      </c>
      <c r="G101" s="137">
        <v>205148</v>
      </c>
      <c r="H101" s="138"/>
    </row>
    <row r="102" spans="1:8" ht="57" x14ac:dyDescent="0.3">
      <c r="A102" s="278"/>
      <c r="B102" s="265">
        <v>2007</v>
      </c>
      <c r="C102" s="136"/>
      <c r="D102" s="136"/>
      <c r="E102" s="275" t="s">
        <v>837</v>
      </c>
      <c r="F102" s="281" t="s">
        <v>825</v>
      </c>
      <c r="G102" s="137">
        <v>413000</v>
      </c>
      <c r="H102" s="138"/>
    </row>
    <row r="103" spans="1:8" ht="57" x14ac:dyDescent="0.3">
      <c r="A103" s="278"/>
      <c r="B103" s="265">
        <v>2011</v>
      </c>
      <c r="C103" s="136"/>
      <c r="D103" s="136"/>
      <c r="E103" s="275" t="s">
        <v>835</v>
      </c>
      <c r="F103" s="281" t="s">
        <v>820</v>
      </c>
      <c r="G103" s="137">
        <v>17999.98</v>
      </c>
      <c r="H103" s="138"/>
    </row>
    <row r="104" spans="1:8" ht="71.25" x14ac:dyDescent="0.3">
      <c r="A104" s="278"/>
      <c r="B104" s="265">
        <v>2015</v>
      </c>
      <c r="C104" s="136"/>
      <c r="D104" s="136"/>
      <c r="E104" s="275" t="s">
        <v>835</v>
      </c>
      <c r="F104" s="281" t="s">
        <v>819</v>
      </c>
      <c r="G104" s="137">
        <v>418278.2</v>
      </c>
      <c r="H104" s="138"/>
    </row>
    <row r="105" spans="1:8" ht="71.25" x14ac:dyDescent="0.3">
      <c r="A105" s="278"/>
      <c r="B105" s="265">
        <v>2022</v>
      </c>
      <c r="C105" s="136"/>
      <c r="D105" s="136"/>
      <c r="E105" s="275" t="s">
        <v>745</v>
      </c>
      <c r="F105" s="281" t="s">
        <v>782</v>
      </c>
      <c r="G105" s="137">
        <v>1156400</v>
      </c>
      <c r="H105" s="138"/>
    </row>
    <row r="106" spans="1:8" ht="28.5" x14ac:dyDescent="0.3">
      <c r="A106" s="278"/>
      <c r="B106" s="265">
        <v>2024</v>
      </c>
      <c r="C106" s="136"/>
      <c r="D106" s="136"/>
      <c r="E106" s="275" t="s">
        <v>698</v>
      </c>
      <c r="F106" s="281" t="s">
        <v>829</v>
      </c>
      <c r="G106" s="137">
        <v>64837160.600000001</v>
      </c>
      <c r="H106" s="138"/>
    </row>
    <row r="107" spans="1:8" ht="42.75" x14ac:dyDescent="0.3">
      <c r="A107" s="278"/>
      <c r="B107" s="265" t="s">
        <v>937</v>
      </c>
      <c r="C107" s="136"/>
      <c r="D107" s="136"/>
      <c r="E107" s="275" t="s">
        <v>658</v>
      </c>
      <c r="F107" s="281" t="s">
        <v>904</v>
      </c>
      <c r="G107" s="137">
        <v>216441.5</v>
      </c>
      <c r="H107" s="138"/>
    </row>
    <row r="108" spans="1:8" ht="57" x14ac:dyDescent="0.3">
      <c r="A108" s="278"/>
      <c r="B108" s="265" t="s">
        <v>938</v>
      </c>
      <c r="C108" s="136"/>
      <c r="D108" s="136"/>
      <c r="E108" s="275" t="s">
        <v>660</v>
      </c>
      <c r="F108" s="281" t="s">
        <v>905</v>
      </c>
      <c r="G108" s="137">
        <v>71293.48</v>
      </c>
      <c r="H108" s="138"/>
    </row>
    <row r="109" spans="1:8" ht="42.75" x14ac:dyDescent="0.3">
      <c r="A109" s="278"/>
      <c r="B109" s="265" t="s">
        <v>939</v>
      </c>
      <c r="C109" s="136"/>
      <c r="D109" s="136"/>
      <c r="E109" s="275" t="s">
        <v>660</v>
      </c>
      <c r="F109" s="281" t="s">
        <v>906</v>
      </c>
      <c r="G109" s="137">
        <v>7590.76</v>
      </c>
      <c r="H109" s="138"/>
    </row>
    <row r="110" spans="1:8" ht="57" x14ac:dyDescent="0.3">
      <c r="A110" s="278"/>
      <c r="B110" s="265" t="s">
        <v>940</v>
      </c>
      <c r="C110" s="136"/>
      <c r="D110" s="136"/>
      <c r="E110" s="275" t="s">
        <v>660</v>
      </c>
      <c r="F110" s="281" t="s">
        <v>907</v>
      </c>
      <c r="G110" s="137">
        <v>192260.63</v>
      </c>
      <c r="H110" s="138"/>
    </row>
    <row r="111" spans="1:8" ht="42.75" x14ac:dyDescent="0.3">
      <c r="A111" s="278"/>
      <c r="B111" s="265" t="s">
        <v>941</v>
      </c>
      <c r="C111" s="136"/>
      <c r="D111" s="136"/>
      <c r="E111" s="275" t="s">
        <v>895</v>
      </c>
      <c r="F111" s="281" t="s">
        <v>908</v>
      </c>
      <c r="G111" s="137">
        <v>164190.82</v>
      </c>
      <c r="H111" s="138"/>
    </row>
    <row r="112" spans="1:8" ht="57" x14ac:dyDescent="0.3">
      <c r="A112" s="278"/>
      <c r="B112" s="265" t="s">
        <v>942</v>
      </c>
      <c r="C112" s="136"/>
      <c r="D112" s="136"/>
      <c r="E112" s="275" t="s">
        <v>895</v>
      </c>
      <c r="F112" s="281" t="s">
        <v>909</v>
      </c>
      <c r="G112" s="137">
        <v>65254.99</v>
      </c>
      <c r="H112" s="138"/>
    </row>
    <row r="113" spans="1:8" ht="57" x14ac:dyDescent="0.3">
      <c r="A113" s="278"/>
      <c r="B113" s="265" t="s">
        <v>943</v>
      </c>
      <c r="C113" s="136"/>
      <c r="D113" s="136"/>
      <c r="E113" s="275" t="s">
        <v>738</v>
      </c>
      <c r="F113" s="281" t="s">
        <v>910</v>
      </c>
      <c r="G113" s="137">
        <v>70279.62</v>
      </c>
      <c r="H113" s="138"/>
    </row>
    <row r="114" spans="1:8" ht="42.75" x14ac:dyDescent="0.3">
      <c r="A114" s="278"/>
      <c r="B114" s="265" t="s">
        <v>944</v>
      </c>
      <c r="C114" s="136"/>
      <c r="D114" s="136"/>
      <c r="E114" s="275" t="s">
        <v>896</v>
      </c>
      <c r="F114" s="281" t="s">
        <v>911</v>
      </c>
      <c r="G114" s="137">
        <v>60535</v>
      </c>
      <c r="H114" s="138"/>
    </row>
    <row r="115" spans="1:8" ht="42.75" x14ac:dyDescent="0.3">
      <c r="A115" s="278"/>
      <c r="B115" s="265" t="s">
        <v>945</v>
      </c>
      <c r="C115" s="136"/>
      <c r="D115" s="136"/>
      <c r="E115" s="275" t="s">
        <v>897</v>
      </c>
      <c r="F115" s="281" t="s">
        <v>912</v>
      </c>
      <c r="G115" s="137">
        <v>90528</v>
      </c>
      <c r="H115" s="138"/>
    </row>
    <row r="116" spans="1:8" ht="57" x14ac:dyDescent="0.3">
      <c r="A116" s="278"/>
      <c r="B116" s="265" t="s">
        <v>946</v>
      </c>
      <c r="C116" s="136"/>
      <c r="D116" s="136"/>
      <c r="E116" s="275" t="s">
        <v>898</v>
      </c>
      <c r="F116" s="281" t="s">
        <v>913</v>
      </c>
      <c r="G116" s="137">
        <v>77000</v>
      </c>
      <c r="H116" s="138"/>
    </row>
    <row r="117" spans="1:8" ht="57" x14ac:dyDescent="0.3">
      <c r="A117" s="278"/>
      <c r="B117" s="265" t="s">
        <v>947</v>
      </c>
      <c r="C117" s="136"/>
      <c r="D117" s="136"/>
      <c r="E117" s="275" t="s">
        <v>738</v>
      </c>
      <c r="F117" s="281" t="s">
        <v>914</v>
      </c>
      <c r="G117" s="137">
        <v>1575867.52</v>
      </c>
      <c r="H117" s="138"/>
    </row>
    <row r="118" spans="1:8" ht="57" x14ac:dyDescent="0.3">
      <c r="A118" s="278"/>
      <c r="B118" s="265" t="s">
        <v>948</v>
      </c>
      <c r="C118" s="136"/>
      <c r="D118" s="136"/>
      <c r="E118" s="275" t="s">
        <v>738</v>
      </c>
      <c r="F118" s="281" t="s">
        <v>915</v>
      </c>
      <c r="G118" s="137">
        <v>1652000</v>
      </c>
      <c r="H118" s="138"/>
    </row>
    <row r="119" spans="1:8" ht="42.75" x14ac:dyDescent="0.3">
      <c r="A119" s="278"/>
      <c r="B119" s="265" t="s">
        <v>949</v>
      </c>
      <c r="C119" s="136"/>
      <c r="D119" s="136"/>
      <c r="E119" s="275" t="s">
        <v>670</v>
      </c>
      <c r="F119" s="281" t="s">
        <v>916</v>
      </c>
      <c r="G119" s="137">
        <v>171592.71</v>
      </c>
      <c r="H119" s="138"/>
    </row>
    <row r="120" spans="1:8" ht="42.75" x14ac:dyDescent="0.3">
      <c r="A120" s="278"/>
      <c r="B120" s="265" t="s">
        <v>950</v>
      </c>
      <c r="C120" s="136"/>
      <c r="D120" s="136"/>
      <c r="E120" s="275" t="s">
        <v>731</v>
      </c>
      <c r="F120" s="281" t="s">
        <v>917</v>
      </c>
      <c r="G120" s="137">
        <v>73089.2</v>
      </c>
      <c r="H120" s="138"/>
    </row>
    <row r="121" spans="1:8" ht="42.75" x14ac:dyDescent="0.3">
      <c r="A121" s="278"/>
      <c r="B121" s="265" t="s">
        <v>951</v>
      </c>
      <c r="C121" s="136"/>
      <c r="D121" s="136"/>
      <c r="E121" s="275" t="s">
        <v>838</v>
      </c>
      <c r="F121" s="281" t="s">
        <v>918</v>
      </c>
      <c r="G121" s="137">
        <v>24095.599999999999</v>
      </c>
      <c r="H121" s="138"/>
    </row>
    <row r="122" spans="1:8" ht="42.75" x14ac:dyDescent="0.3">
      <c r="A122" s="278"/>
      <c r="B122" s="265" t="s">
        <v>952</v>
      </c>
      <c r="C122" s="136"/>
      <c r="D122" s="136"/>
      <c r="E122" s="275" t="s">
        <v>697</v>
      </c>
      <c r="F122" s="281" t="s">
        <v>919</v>
      </c>
      <c r="G122" s="137">
        <v>266326</v>
      </c>
      <c r="H122" s="138"/>
    </row>
    <row r="123" spans="1:8" ht="42.75" x14ac:dyDescent="0.3">
      <c r="A123" s="278"/>
      <c r="B123" s="265" t="s">
        <v>953</v>
      </c>
      <c r="C123" s="136"/>
      <c r="D123" s="136"/>
      <c r="E123" s="275" t="s">
        <v>659</v>
      </c>
      <c r="F123" s="281" t="s">
        <v>920</v>
      </c>
      <c r="G123" s="137">
        <v>80363.899999999994</v>
      </c>
      <c r="H123" s="138"/>
    </row>
    <row r="124" spans="1:8" ht="42.75" x14ac:dyDescent="0.3">
      <c r="A124" s="278"/>
      <c r="B124" s="265" t="s">
        <v>954</v>
      </c>
      <c r="C124" s="136"/>
      <c r="D124" s="136"/>
      <c r="E124" s="275" t="s">
        <v>660</v>
      </c>
      <c r="F124" s="281" t="s">
        <v>921</v>
      </c>
      <c r="G124" s="137">
        <v>135485.59</v>
      </c>
      <c r="H124" s="138"/>
    </row>
    <row r="125" spans="1:8" ht="42.75" x14ac:dyDescent="0.3">
      <c r="A125" s="278"/>
      <c r="B125" s="265" t="s">
        <v>955</v>
      </c>
      <c r="C125" s="136"/>
      <c r="D125" s="136"/>
      <c r="E125" s="275" t="s">
        <v>655</v>
      </c>
      <c r="F125" s="281" t="s">
        <v>922</v>
      </c>
      <c r="G125" s="137">
        <v>259101.2</v>
      </c>
      <c r="H125" s="138"/>
    </row>
    <row r="126" spans="1:8" ht="42.75" x14ac:dyDescent="0.3">
      <c r="A126" s="278"/>
      <c r="B126" s="265" t="s">
        <v>956</v>
      </c>
      <c r="C126" s="136"/>
      <c r="D126" s="136"/>
      <c r="E126" s="275" t="s">
        <v>724</v>
      </c>
      <c r="F126" s="281" t="s">
        <v>923</v>
      </c>
      <c r="G126" s="137">
        <v>130748.55</v>
      </c>
      <c r="H126" s="138"/>
    </row>
    <row r="127" spans="1:8" ht="42.75" x14ac:dyDescent="0.3">
      <c r="A127" s="278"/>
      <c r="B127" s="265" t="s">
        <v>957</v>
      </c>
      <c r="C127" s="136"/>
      <c r="D127" s="136"/>
      <c r="E127" s="275" t="s">
        <v>899</v>
      </c>
      <c r="F127" s="281" t="s">
        <v>924</v>
      </c>
      <c r="G127" s="137">
        <v>185918.91</v>
      </c>
      <c r="H127" s="138"/>
    </row>
    <row r="128" spans="1:8" ht="42.75" x14ac:dyDescent="0.3">
      <c r="A128" s="278"/>
      <c r="B128" s="265" t="s">
        <v>958</v>
      </c>
      <c r="C128" s="136"/>
      <c r="D128" s="136"/>
      <c r="E128" s="275" t="s">
        <v>900</v>
      </c>
      <c r="F128" s="281" t="s">
        <v>925</v>
      </c>
      <c r="G128" s="137">
        <v>9487.2000000000007</v>
      </c>
      <c r="H128" s="138"/>
    </row>
    <row r="129" spans="1:8" ht="42.75" x14ac:dyDescent="0.3">
      <c r="A129" s="278"/>
      <c r="B129" s="265" t="s">
        <v>959</v>
      </c>
      <c r="C129" s="136"/>
      <c r="D129" s="136"/>
      <c r="E129" s="275" t="s">
        <v>699</v>
      </c>
      <c r="F129" s="281" t="s">
        <v>926</v>
      </c>
      <c r="G129" s="137">
        <v>234000</v>
      </c>
      <c r="H129" s="138"/>
    </row>
    <row r="130" spans="1:8" ht="42.75" x14ac:dyDescent="0.3">
      <c r="A130" s="278"/>
      <c r="B130" s="265" t="s">
        <v>960</v>
      </c>
      <c r="C130" s="136"/>
      <c r="D130" s="136"/>
      <c r="E130" s="275" t="s">
        <v>699</v>
      </c>
      <c r="F130" s="281" t="s">
        <v>927</v>
      </c>
      <c r="G130" s="137">
        <v>219000</v>
      </c>
      <c r="H130" s="138"/>
    </row>
    <row r="131" spans="1:8" ht="42.75" x14ac:dyDescent="0.3">
      <c r="A131" s="278"/>
      <c r="B131" s="265" t="s">
        <v>961</v>
      </c>
      <c r="C131" s="136"/>
      <c r="D131" s="136"/>
      <c r="E131" s="275" t="s">
        <v>901</v>
      </c>
      <c r="F131" s="281" t="s">
        <v>928</v>
      </c>
      <c r="G131" s="137">
        <v>247998.24</v>
      </c>
      <c r="H131" s="138"/>
    </row>
    <row r="132" spans="1:8" ht="42.75" x14ac:dyDescent="0.3">
      <c r="A132" s="278"/>
      <c r="B132" s="265" t="s">
        <v>962</v>
      </c>
      <c r="C132" s="136"/>
      <c r="D132" s="136"/>
      <c r="E132" s="275" t="s">
        <v>902</v>
      </c>
      <c r="F132" s="281" t="s">
        <v>929</v>
      </c>
      <c r="G132" s="137">
        <v>269040</v>
      </c>
      <c r="H132" s="138"/>
    </row>
    <row r="133" spans="1:8" ht="42.75" x14ac:dyDescent="0.3">
      <c r="A133" s="278"/>
      <c r="B133" s="265" t="s">
        <v>963</v>
      </c>
      <c r="C133" s="136"/>
      <c r="D133" s="136"/>
      <c r="E133" s="275" t="s">
        <v>654</v>
      </c>
      <c r="F133" s="281" t="s">
        <v>930</v>
      </c>
      <c r="G133" s="137">
        <v>129664</v>
      </c>
      <c r="H133" s="138"/>
    </row>
    <row r="134" spans="1:8" ht="42.75" x14ac:dyDescent="0.3">
      <c r="A134" s="278"/>
      <c r="B134" s="265" t="s">
        <v>964</v>
      </c>
      <c r="C134" s="136"/>
      <c r="D134" s="136"/>
      <c r="E134" s="275" t="s">
        <v>654</v>
      </c>
      <c r="F134" s="281" t="s">
        <v>931</v>
      </c>
      <c r="G134" s="137">
        <v>55960.32</v>
      </c>
      <c r="H134" s="138"/>
    </row>
    <row r="135" spans="1:8" ht="42.75" x14ac:dyDescent="0.3">
      <c r="A135" s="278"/>
      <c r="B135" s="265" t="s">
        <v>965</v>
      </c>
      <c r="C135" s="136"/>
      <c r="D135" s="136"/>
      <c r="E135" s="275" t="s">
        <v>898</v>
      </c>
      <c r="F135" s="281" t="s">
        <v>932</v>
      </c>
      <c r="G135" s="137">
        <v>45000</v>
      </c>
      <c r="H135" s="138"/>
    </row>
    <row r="136" spans="1:8" ht="42.75" x14ac:dyDescent="0.3">
      <c r="A136" s="278"/>
      <c r="B136" s="265" t="s">
        <v>966</v>
      </c>
      <c r="C136" s="136"/>
      <c r="D136" s="136"/>
      <c r="E136" s="275" t="s">
        <v>654</v>
      </c>
      <c r="F136" s="281" t="s">
        <v>933</v>
      </c>
      <c r="G136" s="137">
        <v>6289.04</v>
      </c>
      <c r="H136" s="138"/>
    </row>
    <row r="137" spans="1:8" ht="42.75" x14ac:dyDescent="0.3">
      <c r="A137" s="278"/>
      <c r="B137" s="265" t="s">
        <v>967</v>
      </c>
      <c r="C137" s="136"/>
      <c r="D137" s="136"/>
      <c r="E137" s="275" t="s">
        <v>903</v>
      </c>
      <c r="F137" s="281" t="s">
        <v>934</v>
      </c>
      <c r="G137" s="137">
        <v>185593.65</v>
      </c>
      <c r="H137" s="138"/>
    </row>
    <row r="138" spans="1:8" ht="57" x14ac:dyDescent="0.3">
      <c r="A138" s="278"/>
      <c r="B138" s="265" t="s">
        <v>968</v>
      </c>
      <c r="C138" s="136"/>
      <c r="D138" s="136"/>
      <c r="E138" s="275" t="s">
        <v>671</v>
      </c>
      <c r="F138" s="281" t="s">
        <v>935</v>
      </c>
      <c r="G138" s="137">
        <v>163902</v>
      </c>
      <c r="H138" s="138"/>
    </row>
    <row r="139" spans="1:8" ht="57" x14ac:dyDescent="0.3">
      <c r="A139" s="278"/>
      <c r="B139" s="265" t="s">
        <v>969</v>
      </c>
      <c r="C139" s="136"/>
      <c r="D139" s="136"/>
      <c r="E139" s="275" t="s">
        <v>654</v>
      </c>
      <c r="F139" s="281" t="s">
        <v>936</v>
      </c>
      <c r="G139" s="137">
        <v>214259.64</v>
      </c>
      <c r="H139" s="138"/>
    </row>
    <row r="140" spans="1:8" ht="28.5" x14ac:dyDescent="0.3">
      <c r="A140" s="278">
        <v>45778</v>
      </c>
      <c r="B140" s="265"/>
      <c r="C140" s="136"/>
      <c r="D140" s="136">
        <v>37223</v>
      </c>
      <c r="E140" s="275" t="s">
        <v>840</v>
      </c>
      <c r="F140" s="281" t="s">
        <v>841</v>
      </c>
      <c r="G140" s="137">
        <v>10650</v>
      </c>
      <c r="H140" s="138">
        <v>10650</v>
      </c>
    </row>
    <row r="141" spans="1:8" ht="42.75" x14ac:dyDescent="0.3">
      <c r="A141" s="278">
        <v>45779</v>
      </c>
      <c r="B141" s="265"/>
      <c r="C141" s="136"/>
      <c r="D141" s="136">
        <v>37224</v>
      </c>
      <c r="E141" s="275" t="s">
        <v>842</v>
      </c>
      <c r="F141" s="281" t="s">
        <v>843</v>
      </c>
      <c r="G141" s="137">
        <v>54184.86</v>
      </c>
      <c r="H141" s="138">
        <v>45000</v>
      </c>
    </row>
    <row r="142" spans="1:8" ht="28.5" x14ac:dyDescent="0.3">
      <c r="A142" s="278">
        <v>45779</v>
      </c>
      <c r="B142" s="265"/>
      <c r="C142" s="136"/>
      <c r="D142" s="136">
        <v>37225</v>
      </c>
      <c r="E142" s="275" t="s">
        <v>844</v>
      </c>
      <c r="F142" s="281" t="s">
        <v>845</v>
      </c>
      <c r="G142" s="137">
        <v>15000</v>
      </c>
      <c r="H142" s="138">
        <v>15000</v>
      </c>
    </row>
    <row r="143" spans="1:8" ht="28.5" x14ac:dyDescent="0.3">
      <c r="A143" s="278">
        <v>45779</v>
      </c>
      <c r="B143" s="265"/>
      <c r="C143" s="136"/>
      <c r="D143" s="136">
        <v>37226</v>
      </c>
      <c r="E143" s="275" t="s">
        <v>846</v>
      </c>
      <c r="F143" s="281" t="s">
        <v>847</v>
      </c>
      <c r="G143" s="137">
        <v>3400</v>
      </c>
      <c r="H143" s="138">
        <v>3400</v>
      </c>
    </row>
    <row r="144" spans="1:8" ht="57" x14ac:dyDescent="0.3">
      <c r="A144" s="278">
        <v>45789</v>
      </c>
      <c r="B144" s="265"/>
      <c r="C144" s="136"/>
      <c r="D144" s="136">
        <v>37227</v>
      </c>
      <c r="E144" s="275" t="s">
        <v>848</v>
      </c>
      <c r="F144" s="281" t="s">
        <v>849</v>
      </c>
      <c r="G144" s="137">
        <v>25000</v>
      </c>
      <c r="H144" s="138">
        <v>25000</v>
      </c>
    </row>
    <row r="145" spans="1:8" ht="28.5" x14ac:dyDescent="0.3">
      <c r="A145" s="278"/>
      <c r="B145" s="265"/>
      <c r="C145" s="136"/>
      <c r="D145" s="136">
        <f>+D144+1</f>
        <v>37228</v>
      </c>
      <c r="E145" s="275" t="s">
        <v>842</v>
      </c>
      <c r="F145" s="281" t="s">
        <v>977</v>
      </c>
      <c r="G145" s="137">
        <v>12040.81</v>
      </c>
      <c r="H145" s="138">
        <v>10000</v>
      </c>
    </row>
    <row r="146" spans="1:8" ht="28.5" x14ac:dyDescent="0.3">
      <c r="A146" s="278"/>
      <c r="B146" s="265"/>
      <c r="C146" s="136"/>
      <c r="D146" s="136">
        <f t="shared" ref="D146:D152" si="2">+D145+1</f>
        <v>37229</v>
      </c>
      <c r="E146" s="275" t="s">
        <v>888</v>
      </c>
      <c r="F146" s="281" t="s">
        <v>976</v>
      </c>
      <c r="G146" s="137">
        <v>50620</v>
      </c>
      <c r="H146" s="138">
        <v>50620</v>
      </c>
    </row>
    <row r="147" spans="1:8" ht="28.5" x14ac:dyDescent="0.3">
      <c r="A147" s="278"/>
      <c r="B147" s="265"/>
      <c r="C147" s="136"/>
      <c r="D147" s="136">
        <f t="shared" si="2"/>
        <v>37230</v>
      </c>
      <c r="E147" s="275" t="s">
        <v>889</v>
      </c>
      <c r="F147" s="281" t="s">
        <v>975</v>
      </c>
      <c r="G147" s="137">
        <v>18061.22</v>
      </c>
      <c r="H147" s="138">
        <v>15000</v>
      </c>
    </row>
    <row r="148" spans="1:8" ht="42.75" x14ac:dyDescent="0.3">
      <c r="A148" s="278"/>
      <c r="B148" s="265"/>
      <c r="C148" s="136"/>
      <c r="D148" s="136">
        <f t="shared" si="2"/>
        <v>37231</v>
      </c>
      <c r="E148" s="275" t="s">
        <v>890</v>
      </c>
      <c r="F148" s="281" t="s">
        <v>974</v>
      </c>
      <c r="G148" s="137">
        <v>21673.47</v>
      </c>
      <c r="H148" s="138">
        <v>18000</v>
      </c>
    </row>
    <row r="149" spans="1:8" ht="42.75" x14ac:dyDescent="0.3">
      <c r="A149" s="278"/>
      <c r="B149" s="265"/>
      <c r="C149" s="136"/>
      <c r="D149" s="136">
        <f t="shared" si="2"/>
        <v>37232</v>
      </c>
      <c r="E149" s="275" t="s">
        <v>891</v>
      </c>
      <c r="F149" s="281" t="s">
        <v>973</v>
      </c>
      <c r="G149" s="137">
        <v>18061.22</v>
      </c>
      <c r="H149" s="138">
        <v>15000</v>
      </c>
    </row>
    <row r="150" spans="1:8" ht="42.75" x14ac:dyDescent="0.3">
      <c r="A150" s="278"/>
      <c r="B150" s="265"/>
      <c r="C150" s="136"/>
      <c r="D150" s="136">
        <f t="shared" si="2"/>
        <v>37233</v>
      </c>
      <c r="E150" s="275" t="s">
        <v>892</v>
      </c>
      <c r="F150" s="281" t="s">
        <v>972</v>
      </c>
      <c r="G150" s="137">
        <v>9632.66</v>
      </c>
      <c r="H150" s="138">
        <v>8000</v>
      </c>
    </row>
    <row r="151" spans="1:8" ht="42.75" x14ac:dyDescent="0.3">
      <c r="A151" s="278"/>
      <c r="B151" s="265"/>
      <c r="C151" s="136"/>
      <c r="D151" s="136">
        <f t="shared" si="2"/>
        <v>37234</v>
      </c>
      <c r="E151" s="275" t="s">
        <v>893</v>
      </c>
      <c r="F151" s="281" t="s">
        <v>971</v>
      </c>
      <c r="G151" s="137">
        <v>20000</v>
      </c>
      <c r="H151" s="138">
        <v>20000</v>
      </c>
    </row>
    <row r="152" spans="1:8" ht="57" x14ac:dyDescent="0.3">
      <c r="A152" s="278"/>
      <c r="B152" s="265"/>
      <c r="C152" s="136"/>
      <c r="D152" s="136">
        <f t="shared" si="2"/>
        <v>37235</v>
      </c>
      <c r="E152" s="275" t="s">
        <v>894</v>
      </c>
      <c r="F152" s="281" t="s">
        <v>970</v>
      </c>
      <c r="G152" s="137">
        <v>72244.899999999994</v>
      </c>
      <c r="H152" s="138">
        <v>60000</v>
      </c>
    </row>
    <row r="153" spans="1:8" ht="15.75" x14ac:dyDescent="0.3">
      <c r="A153" s="355"/>
      <c r="B153" s="356"/>
      <c r="C153" s="357"/>
      <c r="D153" s="357"/>
      <c r="E153" s="358"/>
      <c r="F153" s="359"/>
      <c r="G153" s="360"/>
      <c r="H153" s="361"/>
    </row>
    <row r="154" spans="1:8" ht="15.75" thickBot="1" x14ac:dyDescent="0.3">
      <c r="A154" s="403" t="s">
        <v>348</v>
      </c>
      <c r="B154" s="404"/>
      <c r="C154" s="404"/>
      <c r="D154" s="404"/>
      <c r="E154" s="404"/>
      <c r="F154" s="404"/>
      <c r="G154" s="320">
        <f>SUM(G11:G152)</f>
        <v>100509876.81999999</v>
      </c>
      <c r="H154" s="320">
        <f>SUM(H11:H152)</f>
        <v>8712553.8000000007</v>
      </c>
    </row>
    <row r="157" spans="1:8" ht="15.75" thickBot="1" x14ac:dyDescent="0.3"/>
    <row r="158" spans="1:8" x14ac:dyDescent="0.25">
      <c r="A158" s="392" t="s">
        <v>701</v>
      </c>
      <c r="B158" s="393"/>
      <c r="C158" s="394"/>
    </row>
    <row r="159" spans="1:8" x14ac:dyDescent="0.25">
      <c r="A159" s="397" t="s">
        <v>661</v>
      </c>
      <c r="B159" s="398"/>
      <c r="C159" s="345">
        <v>33295114.030000001</v>
      </c>
      <c r="D159" s="346"/>
    </row>
    <row r="160" spans="1:8" x14ac:dyDescent="0.25">
      <c r="A160" s="397" t="s">
        <v>662</v>
      </c>
      <c r="B160" s="398"/>
      <c r="C160" s="345">
        <v>50620</v>
      </c>
    </row>
    <row r="161" spans="1:4" x14ac:dyDescent="0.25">
      <c r="A161" s="397" t="s">
        <v>663</v>
      </c>
      <c r="B161" s="398"/>
      <c r="C161" s="345">
        <f>+G99+G100+G106+G66</f>
        <v>66630550.850000001</v>
      </c>
      <c r="D161" s="346"/>
    </row>
    <row r="162" spans="1:4" x14ac:dyDescent="0.25">
      <c r="A162" s="397" t="s">
        <v>664</v>
      </c>
      <c r="B162" s="398"/>
      <c r="C162" s="345">
        <f>+G144+G143+G142+G141+G140+G14+G145+G147+G148+G149+G150+G151+G152</f>
        <v>479949.1399999999</v>
      </c>
      <c r="D162" s="346"/>
    </row>
    <row r="163" spans="1:4" ht="15.75" thickBot="1" x14ac:dyDescent="0.3">
      <c r="A163" s="395" t="s">
        <v>702</v>
      </c>
      <c r="B163" s="396"/>
      <c r="C163" s="347">
        <f>SUM(C159:C162)</f>
        <v>100456234.02</v>
      </c>
      <c r="D163" s="346"/>
    </row>
  </sheetData>
  <sortState ref="A38:H89">
    <sortCondition ref="B38:B89"/>
  </sortState>
  <mergeCells count="12">
    <mergeCell ref="A5:H5"/>
    <mergeCell ref="A6:H6"/>
    <mergeCell ref="A7:H7"/>
    <mergeCell ref="A9:H9"/>
    <mergeCell ref="A154:F154"/>
    <mergeCell ref="A8:H8"/>
    <mergeCell ref="A158:C158"/>
    <mergeCell ref="A163:B163"/>
    <mergeCell ref="A160:B160"/>
    <mergeCell ref="A161:B161"/>
    <mergeCell ref="A162:B162"/>
    <mergeCell ref="A159:B159"/>
  </mergeCells>
  <pageMargins left="0.7" right="0.7" top="0.75" bottom="0.75" header="0.3" footer="0.3"/>
  <pageSetup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69"/>
  <sheetViews>
    <sheetView topLeftCell="E111" zoomScale="90" zoomScaleNormal="90" workbookViewId="0">
      <selection activeCell="I125" sqref="I125"/>
    </sheetView>
  </sheetViews>
  <sheetFormatPr baseColWidth="10" defaultColWidth="12.5703125" defaultRowHeight="15" x14ac:dyDescent="0.25"/>
  <cols>
    <col min="1" max="1" width="14" customWidth="1"/>
    <col min="2" max="2" width="18.28515625" customWidth="1"/>
    <col min="3" max="3" width="26.28515625" customWidth="1"/>
    <col min="4" max="4" width="31.140625" customWidth="1"/>
    <col min="5" max="5" width="18.28515625" customWidth="1"/>
    <col min="6" max="6" width="45.85546875" customWidth="1"/>
    <col min="7" max="7" width="23.7109375" customWidth="1"/>
    <col min="8" max="8" width="20.85546875" bestFit="1" customWidth="1"/>
    <col min="9" max="9" width="16.85546875" bestFit="1" customWidth="1"/>
    <col min="10" max="10" width="31.42578125" customWidth="1"/>
  </cols>
  <sheetData>
    <row r="1" spans="1:11" x14ac:dyDescent="0.25">
      <c r="A1" s="139"/>
      <c r="B1" s="139"/>
      <c r="F1" s="362"/>
    </row>
    <row r="2" spans="1:11" x14ac:dyDescent="0.25">
      <c r="A2" s="139"/>
      <c r="B2" s="139"/>
    </row>
    <row r="3" spans="1:11" x14ac:dyDescent="0.25">
      <c r="A3" s="399"/>
      <c r="B3" s="399"/>
      <c r="C3" s="399"/>
      <c r="D3" s="399"/>
      <c r="E3" s="399"/>
      <c r="F3" s="399"/>
      <c r="G3" s="399"/>
      <c r="H3" s="399"/>
      <c r="I3" s="399"/>
    </row>
    <row r="4" spans="1:11" ht="18.75" x14ac:dyDescent="0.3">
      <c r="A4" s="407" t="s">
        <v>77</v>
      </c>
      <c r="B4" s="407"/>
      <c r="C4" s="407"/>
      <c r="D4" s="407"/>
      <c r="E4" s="407"/>
      <c r="F4" s="407"/>
      <c r="G4" s="407"/>
      <c r="H4" s="407"/>
      <c r="I4" s="407"/>
    </row>
    <row r="5" spans="1:11" ht="18.75" x14ac:dyDescent="0.3">
      <c r="A5" s="407" t="s">
        <v>640</v>
      </c>
      <c r="B5" s="407"/>
      <c r="C5" s="407"/>
      <c r="D5" s="407"/>
      <c r="E5" s="407"/>
      <c r="F5" s="407"/>
      <c r="G5" s="407"/>
      <c r="H5" s="407"/>
      <c r="I5" s="407"/>
    </row>
    <row r="6" spans="1:11" ht="18.75" x14ac:dyDescent="0.3">
      <c r="A6" s="407" t="s">
        <v>1009</v>
      </c>
      <c r="B6" s="407"/>
      <c r="C6" s="407"/>
      <c r="D6" s="407"/>
      <c r="E6" s="407"/>
      <c r="F6" s="407"/>
      <c r="G6" s="407"/>
      <c r="H6" s="407"/>
      <c r="I6" s="407"/>
    </row>
    <row r="7" spans="1:11" ht="18.75" x14ac:dyDescent="0.3">
      <c r="A7" s="408" t="s">
        <v>1010</v>
      </c>
      <c r="B7" s="408"/>
      <c r="C7" s="408"/>
      <c r="D7" s="408"/>
      <c r="E7" s="408"/>
      <c r="F7" s="408"/>
      <c r="G7" s="408"/>
      <c r="H7" s="408"/>
      <c r="I7" s="408"/>
    </row>
    <row r="8" spans="1:11" ht="31.5" x14ac:dyDescent="0.25">
      <c r="A8" s="369" t="s">
        <v>1011</v>
      </c>
      <c r="B8" s="370" t="s">
        <v>1012</v>
      </c>
      <c r="C8" s="370" t="s">
        <v>1013</v>
      </c>
      <c r="D8" s="371" t="s">
        <v>1014</v>
      </c>
      <c r="E8" s="371" t="s">
        <v>1015</v>
      </c>
      <c r="F8" s="118" t="s">
        <v>1016</v>
      </c>
      <c r="G8" s="118" t="s">
        <v>1017</v>
      </c>
      <c r="H8" s="371" t="s">
        <v>1018</v>
      </c>
      <c r="I8" s="118" t="s">
        <v>1019</v>
      </c>
      <c r="J8" s="372" t="s">
        <v>1020</v>
      </c>
      <c r="K8" s="373" t="s">
        <v>1021</v>
      </c>
    </row>
    <row r="9" spans="1:11" s="132" customFormat="1" x14ac:dyDescent="0.25">
      <c r="A9" s="374">
        <v>45778.501603622681</v>
      </c>
      <c r="B9" s="374" t="s">
        <v>1022</v>
      </c>
      <c r="C9" s="375" t="s">
        <v>1023</v>
      </c>
      <c r="D9" s="375"/>
      <c r="E9" s="376" t="s">
        <v>1024</v>
      </c>
      <c r="F9" s="375" t="s">
        <v>838</v>
      </c>
      <c r="G9" s="375" t="s">
        <v>1025</v>
      </c>
      <c r="H9" s="375" t="s">
        <v>1026</v>
      </c>
      <c r="I9" s="377">
        <v>272005.90999999997</v>
      </c>
      <c r="J9" s="132" t="s">
        <v>1027</v>
      </c>
    </row>
    <row r="10" spans="1:11" s="365" customFormat="1" x14ac:dyDescent="0.25">
      <c r="A10" s="378">
        <v>45778.501718831016</v>
      </c>
      <c r="B10" s="378" t="s">
        <v>1028</v>
      </c>
      <c r="C10" s="379" t="s">
        <v>1029</v>
      </c>
      <c r="D10" s="379"/>
      <c r="E10" s="379" t="s">
        <v>1024</v>
      </c>
      <c r="F10" s="379"/>
      <c r="G10" s="379" t="s">
        <v>1030</v>
      </c>
      <c r="H10" s="379"/>
      <c r="I10" s="380"/>
      <c r="J10" s="381" t="s">
        <v>1031</v>
      </c>
    </row>
    <row r="11" spans="1:11" s="365" customFormat="1" x14ac:dyDescent="0.25">
      <c r="A11" s="378">
        <v>45778.501849421293</v>
      </c>
      <c r="B11" s="378" t="s">
        <v>1028</v>
      </c>
      <c r="C11" s="379" t="s">
        <v>1032</v>
      </c>
      <c r="D11" s="379"/>
      <c r="E11" s="379" t="s">
        <v>1024</v>
      </c>
      <c r="F11" s="379"/>
      <c r="G11" s="379" t="s">
        <v>1030</v>
      </c>
      <c r="H11" s="379" t="s">
        <v>1026</v>
      </c>
      <c r="I11" s="380"/>
      <c r="J11" s="381" t="s">
        <v>1031</v>
      </c>
    </row>
    <row r="12" spans="1:11" s="132" customFormat="1" x14ac:dyDescent="0.25">
      <c r="A12" s="374">
        <v>45779.458984571756</v>
      </c>
      <c r="B12" s="374" t="s">
        <v>1033</v>
      </c>
      <c r="C12" s="375" t="s">
        <v>1034</v>
      </c>
      <c r="D12" s="375"/>
      <c r="E12" s="376" t="s">
        <v>1024</v>
      </c>
      <c r="F12" s="375" t="s">
        <v>1035</v>
      </c>
      <c r="G12" s="375" t="s">
        <v>1036</v>
      </c>
      <c r="H12" s="375" t="s">
        <v>1037</v>
      </c>
      <c r="I12" s="377">
        <v>199620</v>
      </c>
      <c r="J12" s="132" t="s">
        <v>1027</v>
      </c>
    </row>
    <row r="13" spans="1:11" s="132" customFormat="1" x14ac:dyDescent="0.25">
      <c r="A13" s="374">
        <v>45779.479364849532</v>
      </c>
      <c r="B13" s="374" t="s">
        <v>1038</v>
      </c>
      <c r="C13" s="375" t="s">
        <v>1039</v>
      </c>
      <c r="D13" s="375"/>
      <c r="E13" s="376" t="s">
        <v>1024</v>
      </c>
      <c r="F13" s="375" t="s">
        <v>835</v>
      </c>
      <c r="G13" s="375" t="s">
        <v>1040</v>
      </c>
      <c r="H13" s="375" t="s">
        <v>1026</v>
      </c>
      <c r="I13" s="377">
        <v>883372.39</v>
      </c>
      <c r="J13" s="132" t="s">
        <v>1027</v>
      </c>
    </row>
    <row r="14" spans="1:11" s="132" customFormat="1" x14ac:dyDescent="0.25">
      <c r="A14" s="374">
        <v>45779.576423530089</v>
      </c>
      <c r="B14" s="374" t="s">
        <v>1041</v>
      </c>
      <c r="C14" s="375" t="s">
        <v>1042</v>
      </c>
      <c r="D14" s="375"/>
      <c r="E14" s="376" t="s">
        <v>1024</v>
      </c>
      <c r="F14" s="375" t="s">
        <v>1043</v>
      </c>
      <c r="G14" s="375" t="s">
        <v>1044</v>
      </c>
      <c r="H14" s="375" t="s">
        <v>1026</v>
      </c>
      <c r="I14" s="377">
        <v>172000</v>
      </c>
      <c r="J14" s="132" t="s">
        <v>1027</v>
      </c>
    </row>
    <row r="15" spans="1:11" s="132" customFormat="1" x14ac:dyDescent="0.25">
      <c r="A15" s="374">
        <v>45783.520842905091</v>
      </c>
      <c r="B15" s="374" t="s">
        <v>1045</v>
      </c>
      <c r="C15" s="375" t="s">
        <v>1046</v>
      </c>
      <c r="D15" s="375"/>
      <c r="E15" s="376" t="s">
        <v>1024</v>
      </c>
      <c r="F15" s="375" t="s">
        <v>999</v>
      </c>
      <c r="G15" s="375" t="s">
        <v>1047</v>
      </c>
      <c r="H15" s="375" t="s">
        <v>1048</v>
      </c>
      <c r="I15" s="377">
        <v>77000</v>
      </c>
      <c r="J15" s="132" t="s">
        <v>1027</v>
      </c>
    </row>
    <row r="16" spans="1:11" s="132" customFormat="1" x14ac:dyDescent="0.25">
      <c r="A16" s="374">
        <v>45783.569483483792</v>
      </c>
      <c r="B16" s="374" t="s">
        <v>1049</v>
      </c>
      <c r="C16" s="375" t="s">
        <v>1050</v>
      </c>
      <c r="D16" s="375"/>
      <c r="E16" s="376" t="s">
        <v>1024</v>
      </c>
      <c r="F16" s="375" t="s">
        <v>1051</v>
      </c>
      <c r="G16" s="375" t="s">
        <v>1052</v>
      </c>
      <c r="H16" s="375" t="s">
        <v>1053</v>
      </c>
      <c r="I16" s="377">
        <v>760000</v>
      </c>
      <c r="J16" s="132" t="s">
        <v>1027</v>
      </c>
    </row>
    <row r="17" spans="1:10" s="132" customFormat="1" x14ac:dyDescent="0.25">
      <c r="A17" s="374">
        <v>45784.465324965277</v>
      </c>
      <c r="B17" s="374" t="s">
        <v>1054</v>
      </c>
      <c r="C17" s="375" t="s">
        <v>1055</v>
      </c>
      <c r="D17" s="375"/>
      <c r="E17" s="376" t="s">
        <v>1024</v>
      </c>
      <c r="F17" s="375" t="s">
        <v>1035</v>
      </c>
      <c r="G17" s="375" t="s">
        <v>1056</v>
      </c>
      <c r="H17" s="375" t="s">
        <v>1057</v>
      </c>
      <c r="I17" s="377">
        <v>242945</v>
      </c>
      <c r="J17" s="132" t="s">
        <v>1027</v>
      </c>
    </row>
    <row r="18" spans="1:10" s="132" customFormat="1" x14ac:dyDescent="0.25">
      <c r="A18" s="374">
        <v>45784.502276238425</v>
      </c>
      <c r="B18" s="374" t="s">
        <v>1058</v>
      </c>
      <c r="C18" s="375" t="s">
        <v>1059</v>
      </c>
      <c r="D18" s="375"/>
      <c r="E18" s="376" t="s">
        <v>1024</v>
      </c>
      <c r="F18" s="375" t="s">
        <v>838</v>
      </c>
      <c r="G18" s="375" t="s">
        <v>1060</v>
      </c>
      <c r="H18" s="375" t="s">
        <v>1061</v>
      </c>
      <c r="I18" s="377">
        <v>57938</v>
      </c>
      <c r="J18" s="132" t="s">
        <v>1027</v>
      </c>
    </row>
    <row r="19" spans="1:10" s="132" customFormat="1" x14ac:dyDescent="0.25">
      <c r="A19" s="374">
        <v>45784.584445601853</v>
      </c>
      <c r="B19" s="374" t="s">
        <v>1062</v>
      </c>
      <c r="C19" s="375" t="s">
        <v>1063</v>
      </c>
      <c r="D19" s="375"/>
      <c r="E19" s="376" t="s">
        <v>1024</v>
      </c>
      <c r="F19" s="375" t="s">
        <v>671</v>
      </c>
      <c r="G19" s="375" t="s">
        <v>1064</v>
      </c>
      <c r="H19" s="375" t="s">
        <v>1057</v>
      </c>
      <c r="I19" s="377">
        <v>251945</v>
      </c>
      <c r="J19" s="132" t="s">
        <v>1027</v>
      </c>
    </row>
    <row r="20" spans="1:10" s="132" customFormat="1" x14ac:dyDescent="0.25">
      <c r="A20" s="374">
        <v>45784.625555092593</v>
      </c>
      <c r="B20" s="374" t="s">
        <v>1065</v>
      </c>
      <c r="C20" s="375" t="s">
        <v>1066</v>
      </c>
      <c r="D20" s="375"/>
      <c r="E20" s="376" t="s">
        <v>1024</v>
      </c>
      <c r="F20" s="375" t="s">
        <v>1067</v>
      </c>
      <c r="G20" s="375" t="s">
        <v>1068</v>
      </c>
      <c r="H20" s="375" t="s">
        <v>1057</v>
      </c>
      <c r="I20" s="377">
        <v>58764</v>
      </c>
      <c r="J20" s="132" t="s">
        <v>1027</v>
      </c>
    </row>
    <row r="21" spans="1:10" s="132" customFormat="1" x14ac:dyDescent="0.25">
      <c r="A21" s="374">
        <v>45784.708712465275</v>
      </c>
      <c r="B21" s="374" t="s">
        <v>1069</v>
      </c>
      <c r="C21" s="375" t="s">
        <v>1070</v>
      </c>
      <c r="D21" s="375"/>
      <c r="E21" s="376" t="s">
        <v>1024</v>
      </c>
      <c r="F21" s="375" t="s">
        <v>654</v>
      </c>
      <c r="G21" s="375" t="s">
        <v>1071</v>
      </c>
      <c r="H21" s="375" t="s">
        <v>1072</v>
      </c>
      <c r="I21" s="377">
        <v>26821.4</v>
      </c>
      <c r="J21" s="132" t="s">
        <v>1027</v>
      </c>
    </row>
    <row r="22" spans="1:10" s="132" customFormat="1" x14ac:dyDescent="0.25">
      <c r="A22" s="374">
        <v>45784.708831747681</v>
      </c>
      <c r="B22" s="374" t="s">
        <v>1073</v>
      </c>
      <c r="C22" s="375" t="s">
        <v>1074</v>
      </c>
      <c r="D22" s="375"/>
      <c r="E22" s="376" t="s">
        <v>1024</v>
      </c>
      <c r="F22" s="375" t="s">
        <v>671</v>
      </c>
      <c r="G22" s="375" t="s">
        <v>1075</v>
      </c>
      <c r="H22" s="375" t="s">
        <v>1076</v>
      </c>
      <c r="I22" s="377">
        <v>160159.96</v>
      </c>
      <c r="J22" s="132" t="s">
        <v>1027</v>
      </c>
    </row>
    <row r="23" spans="1:10" s="132" customFormat="1" x14ac:dyDescent="0.25">
      <c r="A23" s="374">
        <v>45785.465289236112</v>
      </c>
      <c r="B23" s="374" t="s">
        <v>1077</v>
      </c>
      <c r="C23" s="375" t="s">
        <v>1078</v>
      </c>
      <c r="D23" s="375"/>
      <c r="E23" s="376" t="s">
        <v>1024</v>
      </c>
      <c r="F23" s="375" t="s">
        <v>654</v>
      </c>
      <c r="G23" s="375" t="s">
        <v>1071</v>
      </c>
      <c r="H23" s="375" t="s">
        <v>1079</v>
      </c>
      <c r="I23" s="377">
        <v>26821.4</v>
      </c>
      <c r="J23" s="132" t="s">
        <v>1027</v>
      </c>
    </row>
    <row r="24" spans="1:10" s="132" customFormat="1" x14ac:dyDescent="0.25">
      <c r="A24" s="374">
        <v>45785.542298032407</v>
      </c>
      <c r="B24" s="374" t="s">
        <v>1080</v>
      </c>
      <c r="C24" s="375" t="s">
        <v>1081</v>
      </c>
      <c r="D24" s="375"/>
      <c r="E24" s="376" t="s">
        <v>1024</v>
      </c>
      <c r="F24" s="375" t="s">
        <v>693</v>
      </c>
      <c r="G24" s="375" t="s">
        <v>1064</v>
      </c>
      <c r="H24" s="375" t="s">
        <v>1082</v>
      </c>
      <c r="I24" s="377">
        <v>44000</v>
      </c>
      <c r="J24" s="132" t="s">
        <v>1027</v>
      </c>
    </row>
    <row r="25" spans="1:10" s="132" customFormat="1" x14ac:dyDescent="0.25">
      <c r="A25" s="374">
        <v>45785.545140891205</v>
      </c>
      <c r="B25" s="374" t="s">
        <v>1083</v>
      </c>
      <c r="C25" s="375" t="s">
        <v>1084</v>
      </c>
      <c r="D25" s="375"/>
      <c r="E25" s="376" t="s">
        <v>1024</v>
      </c>
      <c r="F25" s="375" t="s">
        <v>656</v>
      </c>
      <c r="G25" s="375" t="s">
        <v>1036</v>
      </c>
      <c r="H25" s="375" t="s">
        <v>1085</v>
      </c>
      <c r="I25" s="377">
        <v>250000</v>
      </c>
      <c r="J25" s="132" t="s">
        <v>1027</v>
      </c>
    </row>
    <row r="26" spans="1:10" s="132" customFormat="1" x14ac:dyDescent="0.25">
      <c r="A26" s="374">
        <v>45785.593800659721</v>
      </c>
      <c r="B26" s="374" t="s">
        <v>1086</v>
      </c>
      <c r="C26" s="375" t="s">
        <v>1087</v>
      </c>
      <c r="D26" s="375"/>
      <c r="E26" s="376" t="s">
        <v>1024</v>
      </c>
      <c r="F26" s="375" t="s">
        <v>696</v>
      </c>
      <c r="G26" s="375" t="s">
        <v>1036</v>
      </c>
      <c r="H26" s="375" t="s">
        <v>1072</v>
      </c>
      <c r="I26" s="377">
        <v>190315</v>
      </c>
      <c r="J26" s="132" t="s">
        <v>1027</v>
      </c>
    </row>
    <row r="27" spans="1:10" s="132" customFormat="1" x14ac:dyDescent="0.25">
      <c r="A27" s="374">
        <v>45785.667728703702</v>
      </c>
      <c r="B27" s="374" t="s">
        <v>1088</v>
      </c>
      <c r="C27" s="375" t="s">
        <v>1089</v>
      </c>
      <c r="D27" s="375"/>
      <c r="E27" s="376" t="s">
        <v>1024</v>
      </c>
      <c r="F27" s="375" t="s">
        <v>1090</v>
      </c>
      <c r="G27" s="375" t="s">
        <v>1091</v>
      </c>
      <c r="H27" s="375" t="s">
        <v>1072</v>
      </c>
      <c r="I27" s="377">
        <v>70800</v>
      </c>
      <c r="J27" s="132" t="s">
        <v>1092</v>
      </c>
    </row>
    <row r="28" spans="1:10" s="132" customFormat="1" x14ac:dyDescent="0.25">
      <c r="A28" s="374">
        <v>45786.378486539346</v>
      </c>
      <c r="B28" s="374" t="s">
        <v>1093</v>
      </c>
      <c r="C28" s="375" t="s">
        <v>1094</v>
      </c>
      <c r="D28" s="375"/>
      <c r="E28" s="376" t="s">
        <v>1024</v>
      </c>
      <c r="F28" s="375" t="s">
        <v>744</v>
      </c>
      <c r="G28" s="375" t="s">
        <v>1095</v>
      </c>
      <c r="H28" s="375" t="s">
        <v>1082</v>
      </c>
      <c r="I28" s="377">
        <v>115050</v>
      </c>
      <c r="J28" s="132" t="s">
        <v>1027</v>
      </c>
    </row>
    <row r="29" spans="1:10" s="132" customFormat="1" x14ac:dyDescent="0.25">
      <c r="A29" s="374">
        <v>45786.459964351852</v>
      </c>
      <c r="B29" s="374" t="s">
        <v>1096</v>
      </c>
      <c r="C29" s="375" t="s">
        <v>1097</v>
      </c>
      <c r="D29" s="375"/>
      <c r="E29" s="376" t="s">
        <v>1024</v>
      </c>
      <c r="F29" s="375" t="s">
        <v>660</v>
      </c>
      <c r="G29" s="375" t="s">
        <v>1098</v>
      </c>
      <c r="H29" s="375" t="s">
        <v>1072</v>
      </c>
      <c r="I29" s="377">
        <v>196877.8</v>
      </c>
      <c r="J29" s="132" t="s">
        <v>1027</v>
      </c>
    </row>
    <row r="30" spans="1:10" s="132" customFormat="1" x14ac:dyDescent="0.25">
      <c r="A30" s="374">
        <v>45786.501930671293</v>
      </c>
      <c r="B30" s="374" t="s">
        <v>1099</v>
      </c>
      <c r="C30" s="375" t="s">
        <v>1100</v>
      </c>
      <c r="D30" s="375"/>
      <c r="E30" s="376" t="s">
        <v>1024</v>
      </c>
      <c r="F30" s="375" t="s">
        <v>660</v>
      </c>
      <c r="G30" s="375" t="s">
        <v>1101</v>
      </c>
      <c r="H30" s="375" t="s">
        <v>1102</v>
      </c>
      <c r="I30" s="377">
        <v>40275.82</v>
      </c>
      <c r="J30" s="132" t="s">
        <v>1027</v>
      </c>
    </row>
    <row r="31" spans="1:10" s="132" customFormat="1" x14ac:dyDescent="0.25">
      <c r="A31" s="374">
        <v>45786.502119178236</v>
      </c>
      <c r="B31" s="374" t="s">
        <v>1103</v>
      </c>
      <c r="C31" s="375" t="s">
        <v>1104</v>
      </c>
      <c r="D31" s="375"/>
      <c r="E31" s="376" t="s">
        <v>1024</v>
      </c>
      <c r="F31" s="375" t="s">
        <v>1105</v>
      </c>
      <c r="G31" s="375" t="s">
        <v>1064</v>
      </c>
      <c r="H31" s="375" t="s">
        <v>1106</v>
      </c>
      <c r="I31" s="377">
        <v>270000</v>
      </c>
      <c r="J31" s="132" t="s">
        <v>1027</v>
      </c>
    </row>
    <row r="32" spans="1:10" s="132" customFormat="1" x14ac:dyDescent="0.25">
      <c r="A32" s="374">
        <v>45786.542905173606</v>
      </c>
      <c r="B32" s="374" t="s">
        <v>1107</v>
      </c>
      <c r="C32" s="375" t="s">
        <v>1108</v>
      </c>
      <c r="D32" s="375"/>
      <c r="E32" s="376" t="s">
        <v>1024</v>
      </c>
      <c r="F32" s="375" t="s">
        <v>1105</v>
      </c>
      <c r="G32" s="375" t="s">
        <v>1064</v>
      </c>
      <c r="H32" s="375" t="s">
        <v>1102</v>
      </c>
      <c r="I32" s="377">
        <v>263750</v>
      </c>
      <c r="J32" s="132" t="s">
        <v>1027</v>
      </c>
    </row>
    <row r="33" spans="1:10" s="132" customFormat="1" x14ac:dyDescent="0.25">
      <c r="A33" s="374">
        <v>45786.604397719908</v>
      </c>
      <c r="B33" s="374" t="s">
        <v>1109</v>
      </c>
      <c r="C33" s="375" t="s">
        <v>1110</v>
      </c>
      <c r="D33" s="375"/>
      <c r="E33" s="376" t="s">
        <v>1024</v>
      </c>
      <c r="F33" s="375" t="s">
        <v>738</v>
      </c>
      <c r="G33" s="375" t="s">
        <v>1111</v>
      </c>
      <c r="H33" s="375" t="s">
        <v>1102</v>
      </c>
      <c r="I33" s="377">
        <v>70279.62</v>
      </c>
      <c r="J33" s="132" t="s">
        <v>1027</v>
      </c>
    </row>
    <row r="34" spans="1:10" s="132" customFormat="1" x14ac:dyDescent="0.25">
      <c r="A34" s="374">
        <v>45789.418775960643</v>
      </c>
      <c r="B34" s="374" t="s">
        <v>1112</v>
      </c>
      <c r="C34" s="375" t="s">
        <v>1113</v>
      </c>
      <c r="D34" s="375"/>
      <c r="E34" s="376" t="s">
        <v>1024</v>
      </c>
      <c r="F34" s="375" t="s">
        <v>1114</v>
      </c>
      <c r="G34" s="375" t="s">
        <v>1115</v>
      </c>
      <c r="H34" s="375" t="s">
        <v>1116</v>
      </c>
      <c r="I34" s="377">
        <v>2009540</v>
      </c>
      <c r="J34" s="132" t="s">
        <v>1027</v>
      </c>
    </row>
    <row r="35" spans="1:10" s="132" customFormat="1" x14ac:dyDescent="0.25">
      <c r="A35" s="374">
        <v>45789.419007638884</v>
      </c>
      <c r="B35" s="374" t="s">
        <v>1117</v>
      </c>
      <c r="C35" s="375" t="s">
        <v>1118</v>
      </c>
      <c r="D35" s="375"/>
      <c r="E35" s="376" t="s">
        <v>1024</v>
      </c>
      <c r="F35" s="375" t="s">
        <v>1114</v>
      </c>
      <c r="G35" s="375" t="s">
        <v>1119</v>
      </c>
      <c r="H35" s="375" t="s">
        <v>1102</v>
      </c>
      <c r="I35" s="377">
        <v>875914</v>
      </c>
      <c r="J35" s="132" t="s">
        <v>1027</v>
      </c>
    </row>
    <row r="36" spans="1:10" s="132" customFormat="1" x14ac:dyDescent="0.25">
      <c r="A36" s="374">
        <v>45789.502789039347</v>
      </c>
      <c r="B36" s="374" t="s">
        <v>1120</v>
      </c>
      <c r="C36" s="375" t="s">
        <v>1121</v>
      </c>
      <c r="D36" s="375"/>
      <c r="E36" s="376" t="s">
        <v>1024</v>
      </c>
      <c r="F36" s="375" t="s">
        <v>660</v>
      </c>
      <c r="G36" s="375" t="s">
        <v>1122</v>
      </c>
      <c r="H36" s="375" t="s">
        <v>1102</v>
      </c>
      <c r="I36" s="377">
        <v>1365869.33</v>
      </c>
      <c r="J36" s="132" t="s">
        <v>1027</v>
      </c>
    </row>
    <row r="37" spans="1:10" s="132" customFormat="1" x14ac:dyDescent="0.25">
      <c r="A37" s="374">
        <v>45789.590309143518</v>
      </c>
      <c r="B37" s="374" t="s">
        <v>1123</v>
      </c>
      <c r="C37" s="375" t="s">
        <v>1124</v>
      </c>
      <c r="D37" s="375"/>
      <c r="E37" s="376" t="s">
        <v>1024</v>
      </c>
      <c r="F37" s="375" t="s">
        <v>654</v>
      </c>
      <c r="G37" s="375" t="s">
        <v>1125</v>
      </c>
      <c r="H37" s="375" t="s">
        <v>1102</v>
      </c>
      <c r="I37" s="377">
        <v>214259.64</v>
      </c>
      <c r="J37" s="132" t="s">
        <v>1027</v>
      </c>
    </row>
    <row r="38" spans="1:10" s="132" customFormat="1" x14ac:dyDescent="0.25">
      <c r="A38" s="374">
        <v>45789.597257754627</v>
      </c>
      <c r="B38" s="374" t="s">
        <v>1126</v>
      </c>
      <c r="C38" s="375" t="s">
        <v>1127</v>
      </c>
      <c r="D38" s="375"/>
      <c r="E38" s="376" t="s">
        <v>1024</v>
      </c>
      <c r="F38" s="375" t="s">
        <v>900</v>
      </c>
      <c r="G38" s="375" t="s">
        <v>1030</v>
      </c>
      <c r="H38" s="375" t="s">
        <v>1102</v>
      </c>
      <c r="I38" s="377">
        <v>1298000</v>
      </c>
      <c r="J38" s="132" t="s">
        <v>1027</v>
      </c>
    </row>
    <row r="39" spans="1:10" s="132" customFormat="1" x14ac:dyDescent="0.25">
      <c r="A39" s="374">
        <v>45789.625605208334</v>
      </c>
      <c r="B39" s="374" t="s">
        <v>1128</v>
      </c>
      <c r="C39" s="375" t="s">
        <v>1129</v>
      </c>
      <c r="D39" s="375"/>
      <c r="E39" s="376" t="s">
        <v>1024</v>
      </c>
      <c r="F39" s="375" t="s">
        <v>660</v>
      </c>
      <c r="G39" s="375" t="s">
        <v>1130</v>
      </c>
      <c r="H39" s="375" t="s">
        <v>1102</v>
      </c>
      <c r="I39" s="377">
        <v>93917.27</v>
      </c>
      <c r="J39" s="132" t="s">
        <v>1027</v>
      </c>
    </row>
    <row r="40" spans="1:10" s="132" customFormat="1" x14ac:dyDescent="0.25">
      <c r="A40" s="374">
        <v>45789.625779050926</v>
      </c>
      <c r="B40" s="374" t="s">
        <v>1131</v>
      </c>
      <c r="C40" s="375" t="s">
        <v>1132</v>
      </c>
      <c r="D40" s="375"/>
      <c r="E40" s="376" t="s">
        <v>1024</v>
      </c>
      <c r="F40" s="375" t="s">
        <v>1133</v>
      </c>
      <c r="G40" s="375" t="s">
        <v>1134</v>
      </c>
      <c r="H40" s="375" t="s">
        <v>1072</v>
      </c>
      <c r="I40" s="377">
        <v>552240</v>
      </c>
      <c r="J40" s="132" t="s">
        <v>1027</v>
      </c>
    </row>
    <row r="41" spans="1:10" s="132" customFormat="1" x14ac:dyDescent="0.25">
      <c r="A41" s="374">
        <v>45789.626017245369</v>
      </c>
      <c r="B41" s="374" t="s">
        <v>1135</v>
      </c>
      <c r="C41" s="375" t="s">
        <v>1136</v>
      </c>
      <c r="D41" s="375"/>
      <c r="E41" s="376" t="s">
        <v>1024</v>
      </c>
      <c r="F41" s="375" t="s">
        <v>654</v>
      </c>
      <c r="G41" s="375" t="s">
        <v>1091</v>
      </c>
      <c r="H41" s="375" t="s">
        <v>1137</v>
      </c>
      <c r="I41" s="377">
        <v>129664</v>
      </c>
      <c r="J41" s="132" t="s">
        <v>1027</v>
      </c>
    </row>
    <row r="42" spans="1:10" s="132" customFormat="1" x14ac:dyDescent="0.25">
      <c r="A42" s="374">
        <v>45789.626019907402</v>
      </c>
      <c r="B42" s="374" t="s">
        <v>1138</v>
      </c>
      <c r="C42" s="375" t="s">
        <v>1139</v>
      </c>
      <c r="D42" s="375"/>
      <c r="E42" s="376" t="s">
        <v>1024</v>
      </c>
      <c r="F42" s="375" t="s">
        <v>660</v>
      </c>
      <c r="G42" s="375" t="s">
        <v>1130</v>
      </c>
      <c r="H42" s="375" t="s">
        <v>1072</v>
      </c>
      <c r="I42" s="377">
        <v>94479.32</v>
      </c>
      <c r="J42" s="132" t="s">
        <v>1027</v>
      </c>
    </row>
    <row r="43" spans="1:10" s="132" customFormat="1" x14ac:dyDescent="0.25">
      <c r="A43" s="374">
        <v>45789.626140046297</v>
      </c>
      <c r="B43" s="374" t="s">
        <v>1140</v>
      </c>
      <c r="C43" s="375" t="s">
        <v>1141</v>
      </c>
      <c r="D43" s="375"/>
      <c r="E43" s="376" t="s">
        <v>1024</v>
      </c>
      <c r="F43" s="375" t="s">
        <v>1035</v>
      </c>
      <c r="G43" s="375" t="s">
        <v>1142</v>
      </c>
      <c r="H43" s="375" t="s">
        <v>1072</v>
      </c>
      <c r="I43" s="377">
        <v>219000</v>
      </c>
      <c r="J43" s="132" t="s">
        <v>1027</v>
      </c>
    </row>
    <row r="44" spans="1:10" s="132" customFormat="1" x14ac:dyDescent="0.25">
      <c r="A44" s="374">
        <v>45790.418438622684</v>
      </c>
      <c r="B44" s="374" t="s">
        <v>1143</v>
      </c>
      <c r="C44" s="375" t="s">
        <v>1144</v>
      </c>
      <c r="D44" s="375"/>
      <c r="E44" s="376" t="s">
        <v>1024</v>
      </c>
      <c r="F44" s="375" t="s">
        <v>1145</v>
      </c>
      <c r="G44" s="375" t="s">
        <v>1146</v>
      </c>
      <c r="H44" s="375" t="s">
        <v>1072</v>
      </c>
      <c r="I44" s="377">
        <v>18450</v>
      </c>
      <c r="J44" s="132" t="s">
        <v>1027</v>
      </c>
    </row>
    <row r="45" spans="1:10" s="132" customFormat="1" x14ac:dyDescent="0.25">
      <c r="A45" s="374">
        <v>45790.459691979166</v>
      </c>
      <c r="B45" s="374" t="s">
        <v>1147</v>
      </c>
      <c r="C45" s="375" t="s">
        <v>1148</v>
      </c>
      <c r="D45" s="375"/>
      <c r="E45" s="376" t="s">
        <v>1024</v>
      </c>
      <c r="F45" s="375" t="s">
        <v>1149</v>
      </c>
      <c r="G45" s="375" t="s">
        <v>1150</v>
      </c>
      <c r="H45" s="375" t="s">
        <v>1102</v>
      </c>
      <c r="I45" s="377">
        <v>62004.41</v>
      </c>
      <c r="J45" s="132" t="s">
        <v>1027</v>
      </c>
    </row>
    <row r="46" spans="1:10" s="132" customFormat="1" x14ac:dyDescent="0.25">
      <c r="A46" s="374">
        <v>45790.502216400462</v>
      </c>
      <c r="B46" s="374" t="s">
        <v>1151</v>
      </c>
      <c r="C46" s="375" t="s">
        <v>1152</v>
      </c>
      <c r="D46" s="375"/>
      <c r="E46" s="376" t="s">
        <v>1024</v>
      </c>
      <c r="F46" s="375" t="s">
        <v>1153</v>
      </c>
      <c r="G46" s="375" t="s">
        <v>1154</v>
      </c>
      <c r="H46" s="375" t="s">
        <v>1072</v>
      </c>
      <c r="I46" s="377">
        <v>4578.3999999999996</v>
      </c>
      <c r="J46" s="132" t="s">
        <v>1027</v>
      </c>
    </row>
    <row r="47" spans="1:10" s="132" customFormat="1" x14ac:dyDescent="0.25">
      <c r="A47" s="374">
        <v>45790.502216435183</v>
      </c>
      <c r="B47" s="374" t="s">
        <v>1155</v>
      </c>
      <c r="C47" s="375" t="s">
        <v>1156</v>
      </c>
      <c r="D47" s="375"/>
      <c r="E47" s="376" t="s">
        <v>1024</v>
      </c>
      <c r="F47" s="375" t="s">
        <v>1157</v>
      </c>
      <c r="G47" s="375" t="s">
        <v>1158</v>
      </c>
      <c r="H47" s="375" t="s">
        <v>1082</v>
      </c>
      <c r="I47" s="377">
        <v>271981.74</v>
      </c>
      <c r="J47" s="132" t="s">
        <v>1027</v>
      </c>
    </row>
    <row r="48" spans="1:10" s="132" customFormat="1" x14ac:dyDescent="0.25">
      <c r="A48" s="374">
        <v>45790.50247295139</v>
      </c>
      <c r="B48" s="374" t="s">
        <v>1159</v>
      </c>
      <c r="C48" s="375" t="s">
        <v>1160</v>
      </c>
      <c r="D48" s="375"/>
      <c r="E48" s="376" t="s">
        <v>1024</v>
      </c>
      <c r="F48" s="375" t="s">
        <v>660</v>
      </c>
      <c r="G48" s="375" t="s">
        <v>1095</v>
      </c>
      <c r="H48" s="375" t="s">
        <v>1072</v>
      </c>
      <c r="I48" s="377">
        <v>207171.05</v>
      </c>
      <c r="J48" s="132" t="s">
        <v>1027</v>
      </c>
    </row>
    <row r="49" spans="1:10" s="132" customFormat="1" x14ac:dyDescent="0.25">
      <c r="A49" s="374">
        <v>45790.507083761571</v>
      </c>
      <c r="B49" s="374" t="s">
        <v>1161</v>
      </c>
      <c r="C49" s="375" t="s">
        <v>1162</v>
      </c>
      <c r="D49" s="375"/>
      <c r="E49" s="376" t="s">
        <v>1024</v>
      </c>
      <c r="F49" s="375" t="s">
        <v>672</v>
      </c>
      <c r="G49" s="375" t="s">
        <v>1163</v>
      </c>
      <c r="H49" s="375" t="s">
        <v>1102</v>
      </c>
      <c r="I49" s="377">
        <v>42000</v>
      </c>
      <c r="J49" s="132" t="s">
        <v>1027</v>
      </c>
    </row>
    <row r="50" spans="1:10" s="132" customFormat="1" x14ac:dyDescent="0.25">
      <c r="A50" s="374">
        <v>45790.6042165162</v>
      </c>
      <c r="B50" s="374" t="s">
        <v>1164</v>
      </c>
      <c r="C50" s="375" t="s">
        <v>1165</v>
      </c>
      <c r="D50" s="375"/>
      <c r="E50" s="376" t="s">
        <v>1024</v>
      </c>
      <c r="F50" s="375" t="s">
        <v>903</v>
      </c>
      <c r="G50" s="375" t="s">
        <v>1166</v>
      </c>
      <c r="H50" s="375" t="s">
        <v>1167</v>
      </c>
      <c r="I50" s="377">
        <v>185593.63</v>
      </c>
      <c r="J50" s="132" t="s">
        <v>1027</v>
      </c>
    </row>
    <row r="51" spans="1:10" s="132" customFormat="1" x14ac:dyDescent="0.25">
      <c r="A51" s="374">
        <v>45790.604349270834</v>
      </c>
      <c r="B51" s="374" t="s">
        <v>1168</v>
      </c>
      <c r="C51" s="375" t="s">
        <v>1169</v>
      </c>
      <c r="D51" s="375"/>
      <c r="E51" s="376" t="s">
        <v>1024</v>
      </c>
      <c r="F51" s="375" t="s">
        <v>1170</v>
      </c>
      <c r="G51" s="375" t="s">
        <v>1171</v>
      </c>
      <c r="H51" s="375" t="s">
        <v>1172</v>
      </c>
      <c r="I51" s="377">
        <v>584100</v>
      </c>
      <c r="J51" s="132" t="s">
        <v>1027</v>
      </c>
    </row>
    <row r="52" spans="1:10" s="132" customFormat="1" x14ac:dyDescent="0.25">
      <c r="A52" s="374">
        <v>45791.468756516202</v>
      </c>
      <c r="B52" s="374" t="s">
        <v>1173</v>
      </c>
      <c r="C52" s="375" t="s">
        <v>1174</v>
      </c>
      <c r="D52" s="375"/>
      <c r="E52" s="376" t="s">
        <v>1024</v>
      </c>
      <c r="F52" s="375" t="s">
        <v>999</v>
      </c>
      <c r="G52" s="375" t="s">
        <v>1056</v>
      </c>
      <c r="H52" s="375" t="s">
        <v>1172</v>
      </c>
      <c r="I52" s="377">
        <v>165099.70000000001</v>
      </c>
      <c r="J52" s="132" t="s">
        <v>1027</v>
      </c>
    </row>
    <row r="53" spans="1:10" s="132" customFormat="1" x14ac:dyDescent="0.25">
      <c r="A53" s="374">
        <v>45791.502355127312</v>
      </c>
      <c r="B53" s="374" t="s">
        <v>1175</v>
      </c>
      <c r="C53" s="375" t="s">
        <v>1176</v>
      </c>
      <c r="D53" s="375"/>
      <c r="E53" s="376" t="s">
        <v>1024</v>
      </c>
      <c r="F53" s="375" t="s">
        <v>999</v>
      </c>
      <c r="G53" s="375" t="s">
        <v>1056</v>
      </c>
      <c r="H53" s="375" t="s">
        <v>1172</v>
      </c>
      <c r="I53" s="377">
        <v>193777</v>
      </c>
      <c r="J53" s="132" t="s">
        <v>1027</v>
      </c>
    </row>
    <row r="54" spans="1:10" s="132" customFormat="1" x14ac:dyDescent="0.25">
      <c r="A54" s="374">
        <v>45791.541866782405</v>
      </c>
      <c r="B54" s="374" t="s">
        <v>1177</v>
      </c>
      <c r="C54" s="375" t="s">
        <v>1178</v>
      </c>
      <c r="D54" s="375"/>
      <c r="E54" s="376" t="s">
        <v>1024</v>
      </c>
      <c r="F54" s="375" t="s">
        <v>672</v>
      </c>
      <c r="G54" s="375" t="s">
        <v>1142</v>
      </c>
      <c r="H54" s="375" t="s">
        <v>1179</v>
      </c>
      <c r="I54" s="377">
        <v>210000</v>
      </c>
      <c r="J54" s="132" t="s">
        <v>1027</v>
      </c>
    </row>
    <row r="55" spans="1:10" s="132" customFormat="1" x14ac:dyDescent="0.25">
      <c r="A55" s="374">
        <v>45791.542124687498</v>
      </c>
      <c r="B55" s="374" t="s">
        <v>1180</v>
      </c>
      <c r="C55" s="375" t="s">
        <v>1181</v>
      </c>
      <c r="D55" s="375"/>
      <c r="E55" s="376" t="s">
        <v>1024</v>
      </c>
      <c r="F55" s="375" t="s">
        <v>672</v>
      </c>
      <c r="G55" s="375" t="s">
        <v>1047</v>
      </c>
      <c r="H55" s="375" t="s">
        <v>1137</v>
      </c>
      <c r="I55" s="377">
        <v>170000</v>
      </c>
      <c r="J55" s="132" t="s">
        <v>1027</v>
      </c>
    </row>
    <row r="56" spans="1:10" s="132" customFormat="1" x14ac:dyDescent="0.25">
      <c r="A56" s="374">
        <v>45791.584652743055</v>
      </c>
      <c r="B56" s="374" t="s">
        <v>1182</v>
      </c>
      <c r="C56" s="375" t="s">
        <v>1183</v>
      </c>
      <c r="D56" s="375"/>
      <c r="E56" s="376" t="s">
        <v>1024</v>
      </c>
      <c r="F56" s="375" t="s">
        <v>838</v>
      </c>
      <c r="G56" s="375" t="s">
        <v>1146</v>
      </c>
      <c r="H56" s="375" t="s">
        <v>1184</v>
      </c>
      <c r="I56" s="377">
        <v>24095.599999999999</v>
      </c>
      <c r="J56" s="132" t="s">
        <v>1027</v>
      </c>
    </row>
    <row r="57" spans="1:10" s="132" customFormat="1" x14ac:dyDescent="0.25">
      <c r="A57" s="374">
        <v>45791.626310648149</v>
      </c>
      <c r="B57" s="374" t="s">
        <v>1185</v>
      </c>
      <c r="C57" s="375" t="s">
        <v>1186</v>
      </c>
      <c r="D57" s="375"/>
      <c r="E57" s="376" t="s">
        <v>1024</v>
      </c>
      <c r="F57" s="375" t="s">
        <v>1187</v>
      </c>
      <c r="G57" s="375" t="s">
        <v>1188</v>
      </c>
      <c r="H57" s="375" t="s">
        <v>1137</v>
      </c>
      <c r="I57" s="377">
        <v>181999.13</v>
      </c>
      <c r="J57" s="132" t="s">
        <v>1027</v>
      </c>
    </row>
    <row r="58" spans="1:10" s="132" customFormat="1" x14ac:dyDescent="0.25">
      <c r="A58" s="374">
        <v>45791.631963229163</v>
      </c>
      <c r="B58" s="374" t="s">
        <v>1189</v>
      </c>
      <c r="C58" s="375" t="s">
        <v>1190</v>
      </c>
      <c r="D58" s="375"/>
      <c r="E58" s="376" t="s">
        <v>1024</v>
      </c>
      <c r="F58" s="375" t="s">
        <v>1001</v>
      </c>
      <c r="G58" s="375" t="s">
        <v>1191</v>
      </c>
      <c r="H58" s="375" t="s">
        <v>1048</v>
      </c>
      <c r="I58" s="377">
        <v>194700</v>
      </c>
      <c r="J58" s="132" t="s">
        <v>1027</v>
      </c>
    </row>
    <row r="59" spans="1:10" s="132" customFormat="1" x14ac:dyDescent="0.25">
      <c r="A59" s="374">
        <v>45792.501497106481</v>
      </c>
      <c r="B59" s="374" t="s">
        <v>1192</v>
      </c>
      <c r="C59" s="375" t="s">
        <v>1193</v>
      </c>
      <c r="D59" s="375"/>
      <c r="E59" s="376" t="s">
        <v>1024</v>
      </c>
      <c r="F59" s="375" t="s">
        <v>1194</v>
      </c>
      <c r="G59" s="375" t="s">
        <v>1195</v>
      </c>
      <c r="H59" s="375" t="s">
        <v>1102</v>
      </c>
      <c r="I59" s="377">
        <v>548940.85</v>
      </c>
      <c r="J59" s="132" t="s">
        <v>1027</v>
      </c>
    </row>
    <row r="60" spans="1:10" s="132" customFormat="1" x14ac:dyDescent="0.25">
      <c r="A60" s="374">
        <v>45792.50149722222</v>
      </c>
      <c r="B60" s="374" t="s">
        <v>1196</v>
      </c>
      <c r="C60" s="375" t="s">
        <v>1197</v>
      </c>
      <c r="D60" s="375"/>
      <c r="E60" s="376" t="s">
        <v>1024</v>
      </c>
      <c r="F60" s="375" t="s">
        <v>652</v>
      </c>
      <c r="G60" s="375" t="s">
        <v>1195</v>
      </c>
      <c r="H60" s="375" t="s">
        <v>1184</v>
      </c>
      <c r="I60" s="377">
        <v>420406.66</v>
      </c>
      <c r="J60" s="132" t="s">
        <v>1027</v>
      </c>
    </row>
    <row r="61" spans="1:10" s="132" customFormat="1" x14ac:dyDescent="0.25">
      <c r="A61" s="374">
        <v>45792.50178353009</v>
      </c>
      <c r="B61" s="374" t="s">
        <v>1198</v>
      </c>
      <c r="C61" s="375" t="s">
        <v>1199</v>
      </c>
      <c r="D61" s="375"/>
      <c r="E61" s="376" t="s">
        <v>1024</v>
      </c>
      <c r="F61" s="375" t="s">
        <v>653</v>
      </c>
      <c r="G61" s="375" t="s">
        <v>1125</v>
      </c>
      <c r="H61" s="375" t="s">
        <v>1102</v>
      </c>
      <c r="I61" s="377">
        <v>778983.4</v>
      </c>
      <c r="J61" s="132" t="s">
        <v>1027</v>
      </c>
    </row>
    <row r="62" spans="1:10" s="132" customFormat="1" x14ac:dyDescent="0.25">
      <c r="A62" s="374">
        <v>45792.501783831016</v>
      </c>
      <c r="B62" s="374" t="s">
        <v>1200</v>
      </c>
      <c r="C62" s="375" t="s">
        <v>1201</v>
      </c>
      <c r="D62" s="375"/>
      <c r="E62" s="376" t="s">
        <v>1024</v>
      </c>
      <c r="F62" s="375" t="s">
        <v>1202</v>
      </c>
      <c r="G62" s="375" t="s">
        <v>1195</v>
      </c>
      <c r="H62" s="375"/>
      <c r="I62" s="377">
        <v>34021.440000000002</v>
      </c>
      <c r="J62" s="132" t="s">
        <v>1027</v>
      </c>
    </row>
    <row r="63" spans="1:10" s="132" customFormat="1" x14ac:dyDescent="0.25">
      <c r="A63" s="374">
        <v>45792.541978587964</v>
      </c>
      <c r="B63" s="374" t="s">
        <v>1203</v>
      </c>
      <c r="C63" s="375" t="s">
        <v>1204</v>
      </c>
      <c r="D63" s="375"/>
      <c r="E63" s="376" t="s">
        <v>1024</v>
      </c>
      <c r="F63" s="375" t="s">
        <v>655</v>
      </c>
      <c r="G63" s="375" t="s">
        <v>1125</v>
      </c>
      <c r="H63" s="375" t="s">
        <v>1072</v>
      </c>
      <c r="I63" s="377">
        <v>329391</v>
      </c>
      <c r="J63" s="132" t="s">
        <v>1027</v>
      </c>
    </row>
    <row r="64" spans="1:10" s="132" customFormat="1" x14ac:dyDescent="0.25">
      <c r="A64" s="374">
        <v>45792.541978668982</v>
      </c>
      <c r="B64" s="374" t="s">
        <v>1205</v>
      </c>
      <c r="C64" s="375" t="s">
        <v>1206</v>
      </c>
      <c r="D64" s="375"/>
      <c r="E64" s="376" t="s">
        <v>1024</v>
      </c>
      <c r="F64" s="375" t="s">
        <v>900</v>
      </c>
      <c r="G64" s="375" t="s">
        <v>1195</v>
      </c>
      <c r="H64" s="375" t="s">
        <v>1072</v>
      </c>
      <c r="I64" s="377">
        <v>174238</v>
      </c>
      <c r="J64" s="132" t="s">
        <v>1027</v>
      </c>
    </row>
    <row r="65" spans="1:10" s="132" customFormat="1" x14ac:dyDescent="0.25">
      <c r="A65" s="374">
        <v>45792.572949571761</v>
      </c>
      <c r="B65" s="374" t="s">
        <v>1207</v>
      </c>
      <c r="C65" s="375" t="s">
        <v>1208</v>
      </c>
      <c r="D65" s="375"/>
      <c r="E65" s="376" t="s">
        <v>1024</v>
      </c>
      <c r="F65" s="375" t="s">
        <v>654</v>
      </c>
      <c r="G65" s="375" t="s">
        <v>1125</v>
      </c>
      <c r="H65" s="375" t="s">
        <v>1102</v>
      </c>
      <c r="I65" s="377">
        <v>6289.04</v>
      </c>
      <c r="J65" s="132" t="s">
        <v>1027</v>
      </c>
    </row>
    <row r="66" spans="1:10" s="132" customFormat="1" x14ac:dyDescent="0.25">
      <c r="A66" s="374">
        <v>45792.584166168977</v>
      </c>
      <c r="B66" s="374" t="s">
        <v>1209</v>
      </c>
      <c r="C66" s="375" t="s">
        <v>1210</v>
      </c>
      <c r="D66" s="375"/>
      <c r="E66" s="376" t="s">
        <v>1024</v>
      </c>
      <c r="F66" s="375" t="s">
        <v>674</v>
      </c>
      <c r="G66" s="375" t="s">
        <v>1130</v>
      </c>
      <c r="H66" s="375" t="s">
        <v>1211</v>
      </c>
      <c r="I66" s="377">
        <v>266326</v>
      </c>
      <c r="J66" s="132" t="s">
        <v>1027</v>
      </c>
    </row>
    <row r="67" spans="1:10" s="132" customFormat="1" x14ac:dyDescent="0.25">
      <c r="A67" s="374">
        <v>45792.584288078702</v>
      </c>
      <c r="B67" s="374" t="s">
        <v>1212</v>
      </c>
      <c r="C67" s="375" t="s">
        <v>1213</v>
      </c>
      <c r="D67" s="375"/>
      <c r="E67" s="376" t="s">
        <v>1024</v>
      </c>
      <c r="F67" s="375" t="s">
        <v>745</v>
      </c>
      <c r="G67" s="375" t="s">
        <v>1195</v>
      </c>
      <c r="H67" s="375" t="s">
        <v>1137</v>
      </c>
      <c r="I67" s="377">
        <v>573395</v>
      </c>
      <c r="J67" s="132" t="s">
        <v>1027</v>
      </c>
    </row>
    <row r="68" spans="1:10" s="132" customFormat="1" x14ac:dyDescent="0.25">
      <c r="A68" s="374">
        <v>45792.584540358795</v>
      </c>
      <c r="B68" s="374" t="s">
        <v>1214</v>
      </c>
      <c r="C68" s="375" t="s">
        <v>1215</v>
      </c>
      <c r="D68" s="375"/>
      <c r="E68" s="376" t="s">
        <v>1024</v>
      </c>
      <c r="F68" s="375" t="s">
        <v>659</v>
      </c>
      <c r="G68" s="375" t="s">
        <v>1125</v>
      </c>
      <c r="H68" s="375" t="s">
        <v>1102</v>
      </c>
      <c r="I68" s="377">
        <v>226240.22</v>
      </c>
      <c r="J68" s="132" t="s">
        <v>1027</v>
      </c>
    </row>
    <row r="69" spans="1:10" s="132" customFormat="1" x14ac:dyDescent="0.25">
      <c r="A69" s="374">
        <v>45792.611134837964</v>
      </c>
      <c r="B69" s="374" t="s">
        <v>1216</v>
      </c>
      <c r="C69" s="375" t="s">
        <v>1217</v>
      </c>
      <c r="D69" s="375"/>
      <c r="E69" s="376" t="s">
        <v>1024</v>
      </c>
      <c r="F69" s="375" t="s">
        <v>900</v>
      </c>
      <c r="G69" s="375" t="s">
        <v>1195</v>
      </c>
      <c r="H69" s="375" t="s">
        <v>1072</v>
      </c>
      <c r="I69" s="377">
        <v>668000</v>
      </c>
      <c r="J69" s="132" t="s">
        <v>1027</v>
      </c>
    </row>
    <row r="70" spans="1:10" s="132" customFormat="1" x14ac:dyDescent="0.25">
      <c r="A70" s="374">
        <v>45793.437794907404</v>
      </c>
      <c r="B70" s="374" t="s">
        <v>1218</v>
      </c>
      <c r="C70" s="375" t="s">
        <v>1219</v>
      </c>
      <c r="D70" s="375"/>
      <c r="E70" s="376" t="s">
        <v>1024</v>
      </c>
      <c r="F70" s="375" t="s">
        <v>722</v>
      </c>
      <c r="G70" s="375" t="s">
        <v>1220</v>
      </c>
      <c r="H70" s="375" t="s">
        <v>1102</v>
      </c>
      <c r="I70" s="377">
        <v>264000</v>
      </c>
      <c r="J70" s="132" t="s">
        <v>1027</v>
      </c>
    </row>
    <row r="71" spans="1:10" s="132" customFormat="1" x14ac:dyDescent="0.25">
      <c r="A71" s="374">
        <v>45793.459642743052</v>
      </c>
      <c r="B71" s="374" t="s">
        <v>1221</v>
      </c>
      <c r="C71" s="375" t="s">
        <v>1222</v>
      </c>
      <c r="D71" s="375"/>
      <c r="E71" s="376" t="s">
        <v>1024</v>
      </c>
      <c r="F71" s="375" t="s">
        <v>722</v>
      </c>
      <c r="G71" s="375" t="s">
        <v>1071</v>
      </c>
      <c r="H71" s="375" t="s">
        <v>1184</v>
      </c>
      <c r="I71" s="377">
        <v>57820</v>
      </c>
      <c r="J71" s="132" t="s">
        <v>1027</v>
      </c>
    </row>
    <row r="72" spans="1:10" s="132" customFormat="1" x14ac:dyDescent="0.25">
      <c r="A72" s="374">
        <v>45793.502470451385</v>
      </c>
      <c r="B72" s="374" t="s">
        <v>1223</v>
      </c>
      <c r="C72" s="375" t="s">
        <v>1224</v>
      </c>
      <c r="D72" s="375"/>
      <c r="E72" s="376" t="s">
        <v>1024</v>
      </c>
      <c r="F72" s="375" t="s">
        <v>656</v>
      </c>
      <c r="G72" s="375" t="s">
        <v>1071</v>
      </c>
      <c r="H72" s="375" t="s">
        <v>1072</v>
      </c>
      <c r="I72" s="377">
        <v>674774</v>
      </c>
      <c r="J72" s="132" t="s">
        <v>1027</v>
      </c>
    </row>
    <row r="73" spans="1:10" s="365" customFormat="1" x14ac:dyDescent="0.25">
      <c r="A73" s="378">
        <v>45793.502725034719</v>
      </c>
      <c r="B73" s="378" t="s">
        <v>1225</v>
      </c>
      <c r="C73" s="379" t="s">
        <v>1226</v>
      </c>
      <c r="D73" s="379"/>
      <c r="E73" s="379" t="s">
        <v>1024</v>
      </c>
      <c r="F73" s="379"/>
      <c r="G73" s="379" t="s">
        <v>1227</v>
      </c>
      <c r="H73" s="379" t="s">
        <v>1102</v>
      </c>
      <c r="I73" s="380"/>
      <c r="J73" s="381" t="s">
        <v>1228</v>
      </c>
    </row>
    <row r="74" spans="1:10" s="132" customFormat="1" x14ac:dyDescent="0.25">
      <c r="A74" s="374">
        <v>45793.541700925925</v>
      </c>
      <c r="B74" s="374" t="s">
        <v>1229</v>
      </c>
      <c r="C74" s="375" t="s">
        <v>1230</v>
      </c>
      <c r="D74" s="375"/>
      <c r="E74" s="376" t="s">
        <v>1024</v>
      </c>
      <c r="F74" s="375" t="s">
        <v>1231</v>
      </c>
      <c r="G74" s="375" t="s">
        <v>1125</v>
      </c>
      <c r="H74" s="375" t="s">
        <v>1184</v>
      </c>
      <c r="I74" s="377">
        <v>270007.59999999998</v>
      </c>
      <c r="J74" s="132" t="s">
        <v>1027</v>
      </c>
    </row>
    <row r="75" spans="1:10" s="132" customFormat="1" x14ac:dyDescent="0.25">
      <c r="A75" s="374">
        <v>45793.541836192126</v>
      </c>
      <c r="B75" s="374" t="s">
        <v>1232</v>
      </c>
      <c r="C75" s="375" t="s">
        <v>1233</v>
      </c>
      <c r="D75" s="375"/>
      <c r="E75" s="376" t="s">
        <v>1024</v>
      </c>
      <c r="F75" s="375" t="s">
        <v>999</v>
      </c>
      <c r="G75" s="375" t="s">
        <v>1234</v>
      </c>
      <c r="H75" s="375" t="s">
        <v>1048</v>
      </c>
      <c r="I75" s="377">
        <v>45000</v>
      </c>
      <c r="J75" s="132" t="s">
        <v>1027</v>
      </c>
    </row>
    <row r="76" spans="1:10" s="132" customFormat="1" x14ac:dyDescent="0.25">
      <c r="A76" s="374">
        <v>45793.541836539349</v>
      </c>
      <c r="B76" s="374" t="s">
        <v>1028</v>
      </c>
      <c r="C76" s="375" t="s">
        <v>1235</v>
      </c>
      <c r="D76" s="375"/>
      <c r="E76" s="376" t="s">
        <v>1024</v>
      </c>
      <c r="F76" s="375"/>
      <c r="G76" s="375" t="s">
        <v>1236</v>
      </c>
      <c r="H76" s="375" t="s">
        <v>1237</v>
      </c>
      <c r="I76" s="377"/>
      <c r="J76" s="132" t="s">
        <v>1031</v>
      </c>
    </row>
    <row r="77" spans="1:10" s="132" customFormat="1" x14ac:dyDescent="0.25">
      <c r="A77" s="374">
        <v>45793.541995219908</v>
      </c>
      <c r="B77" s="374" t="s">
        <v>1238</v>
      </c>
      <c r="C77" s="375" t="s">
        <v>1239</v>
      </c>
      <c r="D77" s="375"/>
      <c r="E77" s="376" t="s">
        <v>1024</v>
      </c>
      <c r="F77" s="375" t="s">
        <v>655</v>
      </c>
      <c r="G77" s="375" t="s">
        <v>1195</v>
      </c>
      <c r="H77" s="375" t="s">
        <v>1102</v>
      </c>
      <c r="I77" s="377">
        <v>247123.9</v>
      </c>
      <c r="J77" s="132" t="s">
        <v>1027</v>
      </c>
    </row>
    <row r="78" spans="1:10" s="132" customFormat="1" x14ac:dyDescent="0.25">
      <c r="A78" s="374">
        <v>45793.541995451385</v>
      </c>
      <c r="B78" s="374" t="s">
        <v>1240</v>
      </c>
      <c r="C78" s="375" t="s">
        <v>1241</v>
      </c>
      <c r="D78" s="375"/>
      <c r="E78" s="376" t="s">
        <v>1024</v>
      </c>
      <c r="F78" s="375" t="s">
        <v>724</v>
      </c>
      <c r="G78" s="375" t="s">
        <v>1227</v>
      </c>
      <c r="H78" s="375" t="s">
        <v>1072</v>
      </c>
      <c r="I78" s="377">
        <v>72900.009999999995</v>
      </c>
      <c r="J78" s="132" t="s">
        <v>1027</v>
      </c>
    </row>
    <row r="79" spans="1:10" s="132" customFormat="1" x14ac:dyDescent="0.25">
      <c r="A79" s="374">
        <v>45793.584168483794</v>
      </c>
      <c r="B79" s="374" t="s">
        <v>1242</v>
      </c>
      <c r="C79" s="375" t="s">
        <v>1243</v>
      </c>
      <c r="D79" s="375"/>
      <c r="E79" s="376" t="s">
        <v>1024</v>
      </c>
      <c r="F79" s="375" t="s">
        <v>671</v>
      </c>
      <c r="G79" s="375" t="s">
        <v>1091</v>
      </c>
      <c r="H79" s="375" t="s">
        <v>1244</v>
      </c>
      <c r="I79" s="377">
        <v>163902</v>
      </c>
      <c r="J79" s="132" t="s">
        <v>1027</v>
      </c>
    </row>
    <row r="80" spans="1:10" s="132" customFormat="1" x14ac:dyDescent="0.25">
      <c r="A80" s="374">
        <v>45796.479199386573</v>
      </c>
      <c r="B80" s="374" t="s">
        <v>1245</v>
      </c>
      <c r="C80" s="375" t="s">
        <v>1246</v>
      </c>
      <c r="D80" s="375"/>
      <c r="E80" s="376" t="s">
        <v>1024</v>
      </c>
      <c r="F80" s="375" t="s">
        <v>738</v>
      </c>
      <c r="G80" s="375" t="s">
        <v>1111</v>
      </c>
      <c r="H80" s="375" t="s">
        <v>1247</v>
      </c>
      <c r="I80" s="377">
        <v>232932</v>
      </c>
      <c r="J80" s="132" t="s">
        <v>1027</v>
      </c>
    </row>
    <row r="81" spans="1:10" s="365" customFormat="1" x14ac:dyDescent="0.25">
      <c r="A81" s="378">
        <v>45796.502007094903</v>
      </c>
      <c r="B81" s="378" t="s">
        <v>1028</v>
      </c>
      <c r="C81" s="379" t="s">
        <v>1248</v>
      </c>
      <c r="D81" s="379"/>
      <c r="E81" s="379" t="s">
        <v>1024</v>
      </c>
      <c r="F81" s="379"/>
      <c r="G81" s="379" t="s">
        <v>1195</v>
      </c>
      <c r="H81" s="379" t="s">
        <v>1247</v>
      </c>
      <c r="I81" s="380"/>
      <c r="J81" s="381" t="s">
        <v>1031</v>
      </c>
    </row>
    <row r="82" spans="1:10" s="132" customFormat="1" x14ac:dyDescent="0.25">
      <c r="A82" s="374">
        <v>45797.361157951389</v>
      </c>
      <c r="B82" s="374" t="s">
        <v>1249</v>
      </c>
      <c r="C82" s="375" t="s">
        <v>1250</v>
      </c>
      <c r="D82" s="375"/>
      <c r="E82" s="376" t="s">
        <v>1024</v>
      </c>
      <c r="F82" s="375" t="s">
        <v>1251</v>
      </c>
      <c r="G82" s="375" t="s">
        <v>1040</v>
      </c>
      <c r="H82" s="375" t="s">
        <v>1072</v>
      </c>
      <c r="I82" s="377">
        <v>80125.36</v>
      </c>
      <c r="J82" s="132" t="s">
        <v>1027</v>
      </c>
    </row>
    <row r="83" spans="1:10" s="132" customFormat="1" x14ac:dyDescent="0.25">
      <c r="A83" s="374">
        <v>45797.489631979166</v>
      </c>
      <c r="B83" s="374" t="s">
        <v>1252</v>
      </c>
      <c r="C83" s="375" t="s">
        <v>1253</v>
      </c>
      <c r="D83" s="375"/>
      <c r="E83" s="376" t="s">
        <v>1024</v>
      </c>
      <c r="F83" s="375" t="s">
        <v>1254</v>
      </c>
      <c r="G83" s="375" t="s">
        <v>1255</v>
      </c>
      <c r="H83" s="375" t="s">
        <v>1053</v>
      </c>
      <c r="I83" s="377">
        <v>484500.04</v>
      </c>
      <c r="J83" s="132" t="s">
        <v>1027</v>
      </c>
    </row>
    <row r="84" spans="1:10" s="132" customFormat="1" x14ac:dyDescent="0.25">
      <c r="A84" s="374">
        <v>45797.501904166667</v>
      </c>
      <c r="B84" s="374" t="s">
        <v>1256</v>
      </c>
      <c r="C84" s="375" t="s">
        <v>1257</v>
      </c>
      <c r="D84" s="375"/>
      <c r="E84" s="376" t="s">
        <v>1024</v>
      </c>
      <c r="F84" s="375" t="s">
        <v>1258</v>
      </c>
      <c r="G84" s="375" t="s">
        <v>1259</v>
      </c>
      <c r="H84" s="375" t="s">
        <v>1037</v>
      </c>
      <c r="I84" s="377">
        <v>429289</v>
      </c>
      <c r="J84" s="132" t="s">
        <v>1027</v>
      </c>
    </row>
    <row r="85" spans="1:10" s="132" customFormat="1" x14ac:dyDescent="0.25">
      <c r="A85" s="374">
        <v>45797.50202461805</v>
      </c>
      <c r="B85" s="374" t="s">
        <v>1260</v>
      </c>
      <c r="C85" s="375" t="s">
        <v>1261</v>
      </c>
      <c r="D85" s="375"/>
      <c r="E85" s="376" t="s">
        <v>1024</v>
      </c>
      <c r="F85" s="375" t="s">
        <v>1258</v>
      </c>
      <c r="G85" s="375" t="s">
        <v>1259</v>
      </c>
      <c r="H85" s="375" t="s">
        <v>1102</v>
      </c>
      <c r="I85" s="377">
        <v>389046</v>
      </c>
      <c r="J85" s="132" t="s">
        <v>1027</v>
      </c>
    </row>
    <row r="86" spans="1:10" s="132" customFormat="1" x14ac:dyDescent="0.25">
      <c r="A86" s="374">
        <v>45797.502151238426</v>
      </c>
      <c r="B86" s="374" t="s">
        <v>1262</v>
      </c>
      <c r="C86" s="375" t="s">
        <v>1263</v>
      </c>
      <c r="D86" s="375"/>
      <c r="E86" s="376" t="s">
        <v>1024</v>
      </c>
      <c r="F86" s="375" t="s">
        <v>660</v>
      </c>
      <c r="G86" s="375" t="s">
        <v>1264</v>
      </c>
      <c r="H86" s="375" t="s">
        <v>1072</v>
      </c>
      <c r="I86" s="377">
        <v>189862</v>
      </c>
      <c r="J86" s="132" t="s">
        <v>1027</v>
      </c>
    </row>
    <row r="87" spans="1:10" s="132" customFormat="1" x14ac:dyDescent="0.25">
      <c r="A87" s="374">
        <v>45797.583965543978</v>
      </c>
      <c r="B87" s="374" t="s">
        <v>1265</v>
      </c>
      <c r="C87" s="375" t="s">
        <v>1266</v>
      </c>
      <c r="D87" s="375"/>
      <c r="E87" s="376" t="s">
        <v>1024</v>
      </c>
      <c r="F87" s="375" t="s">
        <v>1133</v>
      </c>
      <c r="G87" s="375" t="s">
        <v>1130</v>
      </c>
      <c r="H87" s="375" t="s">
        <v>1072</v>
      </c>
      <c r="I87" s="377">
        <v>53100</v>
      </c>
      <c r="J87" s="132" t="s">
        <v>1027</v>
      </c>
    </row>
    <row r="88" spans="1:10" s="132" customFormat="1" x14ac:dyDescent="0.25">
      <c r="A88" s="374">
        <v>45798.459298692127</v>
      </c>
      <c r="B88" s="374" t="s">
        <v>1267</v>
      </c>
      <c r="C88" s="375" t="s">
        <v>1268</v>
      </c>
      <c r="D88" s="375"/>
      <c r="E88" s="376" t="s">
        <v>1024</v>
      </c>
      <c r="F88" s="375" t="s">
        <v>660</v>
      </c>
      <c r="G88" s="375" t="s">
        <v>1122</v>
      </c>
      <c r="H88" s="375" t="s">
        <v>1072</v>
      </c>
      <c r="I88" s="377">
        <v>248012.09</v>
      </c>
      <c r="J88" s="132" t="s">
        <v>1027</v>
      </c>
    </row>
    <row r="89" spans="1:10" s="132" customFormat="1" x14ac:dyDescent="0.25">
      <c r="A89" s="374">
        <v>45798.459594247681</v>
      </c>
      <c r="B89" s="374" t="s">
        <v>1269</v>
      </c>
      <c r="C89" s="375" t="s">
        <v>1270</v>
      </c>
      <c r="D89" s="375"/>
      <c r="E89" s="376" t="s">
        <v>1024</v>
      </c>
      <c r="F89" s="375" t="s">
        <v>900</v>
      </c>
      <c r="G89" s="375" t="s">
        <v>1171</v>
      </c>
      <c r="H89" s="375" t="s">
        <v>1184</v>
      </c>
      <c r="I89" s="377">
        <v>9487.2000000000007</v>
      </c>
      <c r="J89" s="132" t="s">
        <v>1027</v>
      </c>
    </row>
    <row r="90" spans="1:10" s="132" customFormat="1" x14ac:dyDescent="0.25">
      <c r="A90" s="374">
        <v>45798.465315543981</v>
      </c>
      <c r="B90" s="374" t="s">
        <v>1271</v>
      </c>
      <c r="C90" s="375" t="s">
        <v>1272</v>
      </c>
      <c r="D90" s="375"/>
      <c r="E90" s="376" t="s">
        <v>1024</v>
      </c>
      <c r="F90" s="375" t="s">
        <v>654</v>
      </c>
      <c r="G90" s="375" t="s">
        <v>1030</v>
      </c>
      <c r="H90" s="375"/>
      <c r="I90" s="377">
        <v>55960.32</v>
      </c>
      <c r="J90" s="132" t="s">
        <v>1027</v>
      </c>
    </row>
    <row r="91" spans="1:10" s="365" customFormat="1" x14ac:dyDescent="0.25">
      <c r="A91" s="378">
        <v>45798.503123993054</v>
      </c>
      <c r="B91" s="378" t="s">
        <v>1028</v>
      </c>
      <c r="C91" s="379" t="s">
        <v>1273</v>
      </c>
      <c r="D91" s="379"/>
      <c r="E91" s="379" t="s">
        <v>1024</v>
      </c>
      <c r="F91" s="379"/>
      <c r="G91" s="379" t="s">
        <v>1274</v>
      </c>
      <c r="H91" s="379" t="s">
        <v>1072</v>
      </c>
      <c r="I91" s="380"/>
      <c r="J91" s="381" t="s">
        <v>1092</v>
      </c>
    </row>
    <row r="92" spans="1:10" s="132" customFormat="1" x14ac:dyDescent="0.25">
      <c r="A92" s="374">
        <v>45798.503270289351</v>
      </c>
      <c r="B92" s="374" t="s">
        <v>1275</v>
      </c>
      <c r="C92" s="375" t="s">
        <v>1276</v>
      </c>
      <c r="D92" s="375"/>
      <c r="E92" s="376" t="s">
        <v>1024</v>
      </c>
      <c r="F92" s="375" t="s">
        <v>740</v>
      </c>
      <c r="G92" s="375" t="s">
        <v>1044</v>
      </c>
      <c r="H92" s="375" t="s">
        <v>1184</v>
      </c>
      <c r="I92" s="377">
        <v>664800</v>
      </c>
      <c r="J92" s="132" t="s">
        <v>1027</v>
      </c>
    </row>
    <row r="93" spans="1:10" s="132" customFormat="1" x14ac:dyDescent="0.25">
      <c r="A93" s="374">
        <v>45798.562513310186</v>
      </c>
      <c r="B93" s="374" t="s">
        <v>1277</v>
      </c>
      <c r="C93" s="375" t="s">
        <v>1278</v>
      </c>
      <c r="D93" s="375"/>
      <c r="E93" s="376" t="s">
        <v>1024</v>
      </c>
      <c r="F93" s="375" t="s">
        <v>1035</v>
      </c>
      <c r="G93" s="375" t="s">
        <v>1279</v>
      </c>
      <c r="H93" s="375" t="s">
        <v>1280</v>
      </c>
      <c r="I93" s="377">
        <v>234000</v>
      </c>
      <c r="J93" s="132" t="s">
        <v>1027</v>
      </c>
    </row>
    <row r="94" spans="1:10" s="132" customFormat="1" x14ac:dyDescent="0.25">
      <c r="A94" s="374">
        <v>45799.502056979167</v>
      </c>
      <c r="B94" s="374" t="s">
        <v>1281</v>
      </c>
      <c r="C94" s="375" t="s">
        <v>1282</v>
      </c>
      <c r="D94" s="375"/>
      <c r="E94" s="376" t="s">
        <v>1024</v>
      </c>
      <c r="F94" s="375" t="s">
        <v>660</v>
      </c>
      <c r="G94" s="375" t="s">
        <v>1060</v>
      </c>
      <c r="H94" s="375" t="s">
        <v>1247</v>
      </c>
      <c r="I94" s="377">
        <v>1639492</v>
      </c>
      <c r="J94" s="132" t="s">
        <v>1027</v>
      </c>
    </row>
    <row r="95" spans="1:10" s="365" customFormat="1" x14ac:dyDescent="0.25">
      <c r="A95" s="378">
        <v>45799.62697326389</v>
      </c>
      <c r="B95" s="378" t="s">
        <v>1028</v>
      </c>
      <c r="C95" s="379" t="s">
        <v>1283</v>
      </c>
      <c r="D95" s="379"/>
      <c r="E95" s="379" t="s">
        <v>1024</v>
      </c>
      <c r="F95" s="379"/>
      <c r="G95" s="379" t="s">
        <v>1195</v>
      </c>
      <c r="H95" s="379" t="s">
        <v>1284</v>
      </c>
      <c r="I95" s="380"/>
      <c r="J95" s="381" t="s">
        <v>1031</v>
      </c>
    </row>
    <row r="96" spans="1:10" s="132" customFormat="1" x14ac:dyDescent="0.25">
      <c r="A96" s="374">
        <v>45800.502200694442</v>
      </c>
      <c r="B96" s="374" t="s">
        <v>1285</v>
      </c>
      <c r="C96" s="375" t="s">
        <v>1286</v>
      </c>
      <c r="D96" s="375"/>
      <c r="E96" s="376" t="s">
        <v>1024</v>
      </c>
      <c r="F96" s="375" t="s">
        <v>674</v>
      </c>
      <c r="G96" s="375" t="s">
        <v>1287</v>
      </c>
      <c r="H96" s="375" t="s">
        <v>1026</v>
      </c>
      <c r="I96" s="377">
        <v>233640</v>
      </c>
      <c r="J96" s="132" t="s">
        <v>1027</v>
      </c>
    </row>
    <row r="97" spans="1:10" s="132" customFormat="1" x14ac:dyDescent="0.25">
      <c r="A97" s="374">
        <v>45803.375660497681</v>
      </c>
      <c r="B97" s="374" t="s">
        <v>1288</v>
      </c>
      <c r="C97" s="375" t="s">
        <v>1289</v>
      </c>
      <c r="D97" s="375"/>
      <c r="E97" s="376" t="s">
        <v>1024</v>
      </c>
      <c r="F97" s="375" t="s">
        <v>1153</v>
      </c>
      <c r="G97" s="375" t="s">
        <v>1154</v>
      </c>
      <c r="H97" s="375" t="s">
        <v>1290</v>
      </c>
      <c r="I97" s="377">
        <v>197673.60000000001</v>
      </c>
      <c r="J97" s="132" t="s">
        <v>1027</v>
      </c>
    </row>
    <row r="98" spans="1:10" s="132" customFormat="1" x14ac:dyDescent="0.25">
      <c r="A98" s="374">
        <v>45803.418453321756</v>
      </c>
      <c r="B98" s="374" t="s">
        <v>1291</v>
      </c>
      <c r="C98" s="375" t="s">
        <v>1292</v>
      </c>
      <c r="D98" s="375"/>
      <c r="E98" s="376" t="s">
        <v>1024</v>
      </c>
      <c r="F98" s="375" t="s">
        <v>1293</v>
      </c>
      <c r="G98" s="375" t="s">
        <v>1294</v>
      </c>
      <c r="H98" s="375" t="s">
        <v>1026</v>
      </c>
      <c r="I98" s="377">
        <v>521100</v>
      </c>
      <c r="J98" s="132" t="s">
        <v>1027</v>
      </c>
    </row>
    <row r="99" spans="1:10" s="132" customFormat="1" x14ac:dyDescent="0.25">
      <c r="A99" s="374">
        <v>45803.418453622682</v>
      </c>
      <c r="B99" s="374" t="s">
        <v>1295</v>
      </c>
      <c r="C99" s="375" t="s">
        <v>1296</v>
      </c>
      <c r="D99" s="375"/>
      <c r="E99" s="376" t="s">
        <v>1024</v>
      </c>
      <c r="F99" s="375" t="s">
        <v>1297</v>
      </c>
      <c r="G99" s="375" t="s">
        <v>1091</v>
      </c>
      <c r="H99" s="375" t="s">
        <v>1079</v>
      </c>
      <c r="I99" s="377">
        <v>180003.01</v>
      </c>
      <c r="J99" s="132" t="s">
        <v>1027</v>
      </c>
    </row>
    <row r="100" spans="1:10" s="132" customFormat="1" x14ac:dyDescent="0.25">
      <c r="A100" s="374">
        <v>45803.459379050924</v>
      </c>
      <c r="B100" s="374" t="s">
        <v>1298</v>
      </c>
      <c r="C100" s="375" t="s">
        <v>1299</v>
      </c>
      <c r="D100" s="375"/>
      <c r="E100" s="376" t="s">
        <v>1024</v>
      </c>
      <c r="F100" s="375" t="s">
        <v>1293</v>
      </c>
      <c r="G100" s="375" t="s">
        <v>1300</v>
      </c>
      <c r="H100" s="375" t="s">
        <v>1167</v>
      </c>
      <c r="I100" s="377">
        <v>275330</v>
      </c>
      <c r="J100" s="132" t="s">
        <v>1027</v>
      </c>
    </row>
    <row r="101" spans="1:10" s="132" customFormat="1" x14ac:dyDescent="0.25">
      <c r="A101" s="374">
        <v>45803.459517210649</v>
      </c>
      <c r="B101" s="374" t="s">
        <v>1301</v>
      </c>
      <c r="C101" s="375" t="s">
        <v>1302</v>
      </c>
      <c r="D101" s="375"/>
      <c r="E101" s="376" t="s">
        <v>1024</v>
      </c>
      <c r="F101" s="375" t="s">
        <v>1297</v>
      </c>
      <c r="G101" s="375" t="s">
        <v>1163</v>
      </c>
      <c r="H101" s="375"/>
      <c r="I101" s="377">
        <v>108142.5</v>
      </c>
      <c r="J101" s="132" t="s">
        <v>1027</v>
      </c>
    </row>
    <row r="102" spans="1:10" s="132" customFormat="1" x14ac:dyDescent="0.25">
      <c r="A102" s="374">
        <v>45803.50207091435</v>
      </c>
      <c r="B102" s="374" t="s">
        <v>1303</v>
      </c>
      <c r="C102" s="375" t="s">
        <v>1304</v>
      </c>
      <c r="D102" s="375"/>
      <c r="E102" s="376" t="s">
        <v>1024</v>
      </c>
      <c r="F102" s="375" t="s">
        <v>660</v>
      </c>
      <c r="G102" s="375" t="s">
        <v>1060</v>
      </c>
      <c r="H102" s="375" t="s">
        <v>1048</v>
      </c>
      <c r="I102" s="377">
        <v>910287.4</v>
      </c>
      <c r="J102" s="132" t="s">
        <v>1027</v>
      </c>
    </row>
    <row r="103" spans="1:10" s="132" customFormat="1" x14ac:dyDescent="0.25">
      <c r="A103" s="374">
        <v>45803.502201736112</v>
      </c>
      <c r="B103" s="374" t="s">
        <v>1305</v>
      </c>
      <c r="C103" s="375" t="s">
        <v>1306</v>
      </c>
      <c r="D103" s="375"/>
      <c r="E103" s="376" t="s">
        <v>1024</v>
      </c>
      <c r="F103" s="375" t="s">
        <v>1293</v>
      </c>
      <c r="G103" s="375" t="s">
        <v>1307</v>
      </c>
      <c r="H103" s="375" t="s">
        <v>1308</v>
      </c>
      <c r="I103" s="377">
        <v>374360</v>
      </c>
      <c r="J103" s="132" t="s">
        <v>1027</v>
      </c>
    </row>
    <row r="104" spans="1:10" s="365" customFormat="1" x14ac:dyDescent="0.25">
      <c r="A104" s="390">
        <v>45803.626205405089</v>
      </c>
      <c r="B104" s="390" t="s">
        <v>1309</v>
      </c>
      <c r="C104" s="326" t="s">
        <v>1310</v>
      </c>
      <c r="D104" s="326"/>
      <c r="E104" s="326" t="s">
        <v>1024</v>
      </c>
      <c r="F104" s="326" t="s">
        <v>1133</v>
      </c>
      <c r="G104" s="326" t="s">
        <v>1130</v>
      </c>
      <c r="H104" s="326" t="s">
        <v>1102</v>
      </c>
      <c r="I104" s="391">
        <v>88889</v>
      </c>
      <c r="J104" s="365" t="s">
        <v>1027</v>
      </c>
    </row>
    <row r="105" spans="1:10" s="132" customFormat="1" x14ac:dyDescent="0.25">
      <c r="A105" s="374">
        <v>45804.458907870372</v>
      </c>
      <c r="B105" s="374" t="s">
        <v>1311</v>
      </c>
      <c r="C105" s="375" t="s">
        <v>1312</v>
      </c>
      <c r="D105" s="375"/>
      <c r="E105" s="376" t="s">
        <v>1024</v>
      </c>
      <c r="F105" s="375" t="s">
        <v>673</v>
      </c>
      <c r="G105" s="375" t="s">
        <v>1195</v>
      </c>
      <c r="H105" s="375" t="s">
        <v>1072</v>
      </c>
      <c r="I105" s="377">
        <v>137145</v>
      </c>
      <c r="J105" s="132" t="s">
        <v>1027</v>
      </c>
    </row>
    <row r="106" spans="1:10" s="365" customFormat="1" x14ac:dyDescent="0.25">
      <c r="A106" s="378">
        <v>45804.502771215273</v>
      </c>
      <c r="B106" s="378" t="s">
        <v>1028</v>
      </c>
      <c r="C106" s="379" t="s">
        <v>1313</v>
      </c>
      <c r="D106" s="379"/>
      <c r="E106" s="379" t="s">
        <v>1024</v>
      </c>
      <c r="F106" s="379"/>
      <c r="G106" s="379" t="s">
        <v>1314</v>
      </c>
      <c r="H106" s="379"/>
      <c r="I106" s="380"/>
      <c r="J106" s="381" t="s">
        <v>1315</v>
      </c>
    </row>
    <row r="107" spans="1:10" s="365" customFormat="1" x14ac:dyDescent="0.25">
      <c r="A107" s="390">
        <v>45804.541998460649</v>
      </c>
      <c r="B107" s="390" t="s">
        <v>1316</v>
      </c>
      <c r="C107" s="326" t="s">
        <v>1317</v>
      </c>
      <c r="D107" s="326"/>
      <c r="E107" s="326" t="s">
        <v>1024</v>
      </c>
      <c r="F107" s="326" t="s">
        <v>672</v>
      </c>
      <c r="G107" s="326" t="s">
        <v>1163</v>
      </c>
      <c r="H107" s="326" t="s">
        <v>1037</v>
      </c>
      <c r="I107" s="391">
        <v>253500</v>
      </c>
      <c r="J107" s="365" t="s">
        <v>1027</v>
      </c>
    </row>
    <row r="108" spans="1:10" s="132" customFormat="1" x14ac:dyDescent="0.25">
      <c r="A108" s="374">
        <v>45805.459502395832</v>
      </c>
      <c r="B108" s="374" t="s">
        <v>1318</v>
      </c>
      <c r="C108" s="375" t="s">
        <v>1319</v>
      </c>
      <c r="D108" s="375"/>
      <c r="E108" s="376" t="s">
        <v>1024</v>
      </c>
      <c r="F108" s="375" t="s">
        <v>1320</v>
      </c>
      <c r="G108" s="375" t="s">
        <v>1171</v>
      </c>
      <c r="H108" s="375" t="s">
        <v>1321</v>
      </c>
      <c r="I108" s="377">
        <v>177000</v>
      </c>
      <c r="J108" s="132" t="s">
        <v>1027</v>
      </c>
    </row>
    <row r="109" spans="1:10" s="132" customFormat="1" x14ac:dyDescent="0.25">
      <c r="A109" s="374">
        <v>45805.502849537035</v>
      </c>
      <c r="B109" s="374" t="s">
        <v>1322</v>
      </c>
      <c r="C109" s="375" t="s">
        <v>1323</v>
      </c>
      <c r="D109" s="375"/>
      <c r="E109" s="376" t="s">
        <v>1024</v>
      </c>
      <c r="F109" s="375" t="s">
        <v>660</v>
      </c>
      <c r="G109" s="132" t="s">
        <v>1130</v>
      </c>
      <c r="H109" s="375" t="s">
        <v>1053</v>
      </c>
      <c r="I109" s="377">
        <v>71591.429999999993</v>
      </c>
      <c r="J109" s="132" t="s">
        <v>1027</v>
      </c>
    </row>
    <row r="110" spans="1:10" s="132" customFormat="1" x14ac:dyDescent="0.25">
      <c r="A110" s="374">
        <v>45805.502985185187</v>
      </c>
      <c r="B110" s="374" t="s">
        <v>1324</v>
      </c>
      <c r="C110" s="375" t="s">
        <v>1325</v>
      </c>
      <c r="D110" s="375"/>
      <c r="E110" s="376" t="s">
        <v>1024</v>
      </c>
      <c r="F110" s="375" t="s">
        <v>1326</v>
      </c>
      <c r="G110" s="375" t="s">
        <v>1327</v>
      </c>
      <c r="H110" s="375" t="s">
        <v>1057</v>
      </c>
      <c r="I110" s="377">
        <v>212400</v>
      </c>
      <c r="J110" s="132" t="s">
        <v>1027</v>
      </c>
    </row>
    <row r="111" spans="1:10" s="132" customFormat="1" x14ac:dyDescent="0.25">
      <c r="A111" s="374">
        <v>45805.503273379625</v>
      </c>
      <c r="B111" s="374" t="s">
        <v>1328</v>
      </c>
      <c r="C111" s="375" t="s">
        <v>1329</v>
      </c>
      <c r="D111" s="375"/>
      <c r="E111" s="376" t="s">
        <v>1024</v>
      </c>
      <c r="F111" s="375" t="s">
        <v>1326</v>
      </c>
      <c r="G111" s="375" t="s">
        <v>1327</v>
      </c>
      <c r="H111" s="375" t="s">
        <v>1057</v>
      </c>
      <c r="I111" s="377">
        <v>247800</v>
      </c>
      <c r="J111" s="132" t="s">
        <v>1027</v>
      </c>
    </row>
    <row r="112" spans="1:10" s="132" customFormat="1" x14ac:dyDescent="0.25">
      <c r="A112" s="374">
        <v>45805.562539004626</v>
      </c>
      <c r="B112" s="374" t="s">
        <v>1330</v>
      </c>
      <c r="C112" s="375" t="s">
        <v>1331</v>
      </c>
      <c r="D112" s="375"/>
      <c r="E112" s="376" t="s">
        <v>1024</v>
      </c>
      <c r="F112" s="375" t="s">
        <v>1043</v>
      </c>
      <c r="G112" s="375" t="s">
        <v>1044</v>
      </c>
      <c r="H112" s="375" t="s">
        <v>1057</v>
      </c>
      <c r="I112" s="377">
        <v>172000</v>
      </c>
      <c r="J112" s="132" t="s">
        <v>1027</v>
      </c>
    </row>
    <row r="113" spans="1:10" s="365" customFormat="1" x14ac:dyDescent="0.25">
      <c r="A113" s="378">
        <v>45805.627732407404</v>
      </c>
      <c r="B113" s="378" t="s">
        <v>1028</v>
      </c>
      <c r="C113" s="379" t="s">
        <v>1332</v>
      </c>
      <c r="D113" s="379"/>
      <c r="E113" s="379" t="s">
        <v>1024</v>
      </c>
      <c r="F113" s="379"/>
      <c r="G113" s="381" t="s">
        <v>1119</v>
      </c>
      <c r="H113" s="379" t="s">
        <v>1102</v>
      </c>
      <c r="I113" s="380"/>
      <c r="J113" s="381" t="s">
        <v>1031</v>
      </c>
    </row>
    <row r="114" spans="1:10" s="132" customFormat="1" x14ac:dyDescent="0.25">
      <c r="A114" s="374">
        <v>45806.465327858794</v>
      </c>
      <c r="B114" s="374" t="s">
        <v>1333</v>
      </c>
      <c r="C114" s="375" t="s">
        <v>1334</v>
      </c>
      <c r="D114" s="375"/>
      <c r="E114" s="376" t="s">
        <v>1024</v>
      </c>
      <c r="F114" s="375" t="s">
        <v>671</v>
      </c>
      <c r="G114" s="375" t="s">
        <v>1142</v>
      </c>
      <c r="H114" s="375" t="s">
        <v>1082</v>
      </c>
      <c r="I114" s="377">
        <v>210000</v>
      </c>
      <c r="J114" s="132" t="s">
        <v>1027</v>
      </c>
    </row>
    <row r="115" spans="1:10" s="132" customFormat="1" x14ac:dyDescent="0.25">
      <c r="A115" s="374">
        <v>45806.502421643519</v>
      </c>
      <c r="B115" s="374" t="s">
        <v>1335</v>
      </c>
      <c r="C115" s="375" t="s">
        <v>1336</v>
      </c>
      <c r="D115" s="375"/>
      <c r="E115" s="376" t="s">
        <v>1024</v>
      </c>
      <c r="F115" s="375" t="s">
        <v>1337</v>
      </c>
      <c r="G115" s="132" t="s">
        <v>1095</v>
      </c>
      <c r="H115" s="375" t="s">
        <v>1308</v>
      </c>
      <c r="I115" s="377">
        <v>257004</v>
      </c>
      <c r="J115" s="132" t="s">
        <v>1027</v>
      </c>
    </row>
    <row r="116" spans="1:10" s="365" customFormat="1" x14ac:dyDescent="0.25">
      <c r="A116" s="378">
        <v>45806.502558877313</v>
      </c>
      <c r="B116" s="378" t="s">
        <v>1028</v>
      </c>
      <c r="C116" s="379" t="s">
        <v>1338</v>
      </c>
      <c r="D116" s="379"/>
      <c r="E116" s="379" t="s">
        <v>1024</v>
      </c>
      <c r="F116" s="379"/>
      <c r="G116" s="379" t="s">
        <v>1339</v>
      </c>
      <c r="H116" s="379"/>
      <c r="I116" s="380"/>
      <c r="J116" s="381" t="s">
        <v>1031</v>
      </c>
    </row>
    <row r="117" spans="1:10" s="132" customFormat="1" x14ac:dyDescent="0.25">
      <c r="A117" s="374">
        <v>45806.520967442128</v>
      </c>
      <c r="B117" s="374" t="s">
        <v>1340</v>
      </c>
      <c r="C117" s="375" t="s">
        <v>1341</v>
      </c>
      <c r="D117" s="375"/>
      <c r="E117" s="376" t="s">
        <v>1024</v>
      </c>
      <c r="F117" s="375" t="s">
        <v>671</v>
      </c>
      <c r="G117" s="375" t="s">
        <v>1047</v>
      </c>
      <c r="H117" s="375" t="s">
        <v>1085</v>
      </c>
      <c r="I117" s="382">
        <v>151260</v>
      </c>
      <c r="J117" s="132" t="s">
        <v>1027</v>
      </c>
    </row>
    <row r="118" spans="1:10" s="132" customFormat="1" x14ac:dyDescent="0.25">
      <c r="A118" s="374">
        <v>45806.542567094904</v>
      </c>
      <c r="B118" s="374" t="s">
        <v>1342</v>
      </c>
      <c r="C118" s="375" t="s">
        <v>1343</v>
      </c>
      <c r="D118" s="375"/>
      <c r="E118" s="376" t="s">
        <v>1024</v>
      </c>
      <c r="F118" s="375" t="s">
        <v>1133</v>
      </c>
      <c r="G118" s="132" t="s">
        <v>1344</v>
      </c>
      <c r="H118" s="375" t="s">
        <v>1345</v>
      </c>
      <c r="I118" s="377">
        <v>223020</v>
      </c>
      <c r="J118" s="132" t="s">
        <v>1027</v>
      </c>
    </row>
    <row r="119" spans="1:10" s="132" customFormat="1" x14ac:dyDescent="0.25">
      <c r="A119" s="374">
        <v>45807.418765543982</v>
      </c>
      <c r="B119" s="374" t="s">
        <v>1346</v>
      </c>
      <c r="C119" s="375" t="s">
        <v>1347</v>
      </c>
      <c r="D119" s="375"/>
      <c r="E119" s="376" t="s">
        <v>1024</v>
      </c>
      <c r="F119" s="375" t="s">
        <v>1320</v>
      </c>
      <c r="G119" s="375" t="s">
        <v>1130</v>
      </c>
      <c r="H119" s="375" t="s">
        <v>1072</v>
      </c>
      <c r="I119" s="377">
        <v>264320</v>
      </c>
      <c r="J119" s="132" t="s">
        <v>1027</v>
      </c>
    </row>
    <row r="120" spans="1:10" s="132" customFormat="1" x14ac:dyDescent="0.25">
      <c r="A120" s="374">
        <v>45807.418912731482</v>
      </c>
      <c r="B120" s="374" t="s">
        <v>1348</v>
      </c>
      <c r="C120" s="375" t="s">
        <v>1349</v>
      </c>
      <c r="D120" s="375"/>
      <c r="E120" s="376" t="s">
        <v>1024</v>
      </c>
      <c r="F120" s="375" t="s">
        <v>657</v>
      </c>
      <c r="G120" s="375" t="s">
        <v>1056</v>
      </c>
      <c r="H120" s="375"/>
      <c r="I120" s="377">
        <v>177000</v>
      </c>
      <c r="J120" s="132" t="s">
        <v>1027</v>
      </c>
    </row>
    <row r="121" spans="1:10" s="132" customFormat="1" x14ac:dyDescent="0.25">
      <c r="A121" s="374">
        <v>45807.459311608793</v>
      </c>
      <c r="B121" s="374" t="s">
        <v>1350</v>
      </c>
      <c r="C121" s="375" t="s">
        <v>1351</v>
      </c>
      <c r="D121" s="375"/>
      <c r="E121" s="376" t="s">
        <v>1024</v>
      </c>
      <c r="F121" s="375" t="s">
        <v>1352</v>
      </c>
      <c r="G121" s="375" t="s">
        <v>1353</v>
      </c>
      <c r="H121" s="375"/>
      <c r="I121" s="377">
        <v>106200</v>
      </c>
      <c r="J121" s="132" t="s">
        <v>1027</v>
      </c>
    </row>
    <row r="122" spans="1:10" ht="15.75" x14ac:dyDescent="0.25">
      <c r="A122" s="1"/>
      <c r="B122" s="1"/>
      <c r="C122" s="1"/>
      <c r="D122" s="383" t="s">
        <v>1354</v>
      </c>
      <c r="E122" s="1"/>
      <c r="F122" s="406" t="s">
        <v>1355</v>
      </c>
      <c r="G122" s="406"/>
      <c r="H122" s="1"/>
      <c r="I122" s="384">
        <f>SUM(I9:I121)</f>
        <v>30151206.59</v>
      </c>
    </row>
    <row r="123" spans="1:10" x14ac:dyDescent="0.25">
      <c r="A123" s="139"/>
      <c r="B123" s="139"/>
    </row>
    <row r="124" spans="1:10" x14ac:dyDescent="0.25">
      <c r="A124" s="139"/>
      <c r="B124" s="139"/>
    </row>
    <row r="125" spans="1:10" ht="15.75" x14ac:dyDescent="0.25">
      <c r="A125" s="385" t="s">
        <v>1356</v>
      </c>
      <c r="B125" s="385"/>
      <c r="C125" s="385"/>
      <c r="D125" s="386"/>
      <c r="F125" s="140" t="s">
        <v>1357</v>
      </c>
    </row>
    <row r="126" spans="1:10" x14ac:dyDescent="0.25">
      <c r="D126" s="386"/>
    </row>
    <row r="127" spans="1:10" x14ac:dyDescent="0.25">
      <c r="A127" s="124" t="s">
        <v>1358</v>
      </c>
      <c r="B127" s="124" t="s">
        <v>1359</v>
      </c>
      <c r="C127" s="124" t="s">
        <v>435</v>
      </c>
      <c r="D127" s="386"/>
      <c r="F127" s="124" t="s">
        <v>436</v>
      </c>
      <c r="G127" s="124" t="s">
        <v>1359</v>
      </c>
      <c r="H127" s="124" t="s">
        <v>435</v>
      </c>
    </row>
    <row r="128" spans="1:10" x14ac:dyDescent="0.25">
      <c r="A128" s="387"/>
      <c r="B128" s="2"/>
      <c r="C128" s="125"/>
      <c r="D128" s="386"/>
      <c r="F128" s="1" t="s">
        <v>1360</v>
      </c>
      <c r="G128" s="1"/>
      <c r="H128" s="165"/>
    </row>
    <row r="129" spans="1:8" x14ac:dyDescent="0.25">
      <c r="A129" s="387"/>
      <c r="B129" s="2"/>
      <c r="C129" s="125"/>
      <c r="D129" s="386"/>
      <c r="F129" s="1" t="s">
        <v>1361</v>
      </c>
      <c r="G129" s="1"/>
      <c r="H129" s="165"/>
    </row>
    <row r="130" spans="1:8" x14ac:dyDescent="0.25">
      <c r="A130" s="387"/>
      <c r="B130" s="2"/>
      <c r="C130" s="125"/>
      <c r="D130" s="386"/>
      <c r="F130" s="1" t="s">
        <v>1362</v>
      </c>
      <c r="G130" s="1"/>
      <c r="H130" s="165"/>
    </row>
    <row r="131" spans="1:8" x14ac:dyDescent="0.25">
      <c r="A131" s="387"/>
      <c r="B131" s="2"/>
      <c r="C131" s="125"/>
      <c r="D131" s="386"/>
      <c r="F131" s="388" t="s">
        <v>1363</v>
      </c>
      <c r="G131" s="1">
        <f>SUM(G128:G130)</f>
        <v>0</v>
      </c>
      <c r="H131" s="165">
        <f>+H123</f>
        <v>0</v>
      </c>
    </row>
    <row r="132" spans="1:8" x14ac:dyDescent="0.25">
      <c r="A132" s="387"/>
      <c r="B132" s="2"/>
      <c r="C132" s="125"/>
      <c r="D132" s="386"/>
    </row>
    <row r="133" spans="1:8" x14ac:dyDescent="0.25">
      <c r="A133" s="387"/>
      <c r="B133" s="2"/>
      <c r="C133" s="125"/>
      <c r="D133" s="386"/>
    </row>
    <row r="134" spans="1:8" x14ac:dyDescent="0.25">
      <c r="A134" s="387"/>
      <c r="B134" s="2"/>
      <c r="C134" s="125"/>
      <c r="D134" s="386"/>
    </row>
    <row r="135" spans="1:8" x14ac:dyDescent="0.25">
      <c r="A135" s="387"/>
      <c r="B135" s="2"/>
      <c r="C135" s="125"/>
      <c r="D135" s="386"/>
    </row>
    <row r="136" spans="1:8" x14ac:dyDescent="0.25">
      <c r="A136" s="387"/>
      <c r="B136" s="2"/>
      <c r="C136" s="125"/>
      <c r="D136" s="386"/>
    </row>
    <row r="137" spans="1:8" x14ac:dyDescent="0.25">
      <c r="A137" s="387"/>
      <c r="B137" s="2"/>
      <c r="C137" s="125"/>
      <c r="D137" s="386"/>
    </row>
    <row r="138" spans="1:8" x14ac:dyDescent="0.25">
      <c r="A138" s="387"/>
      <c r="B138" s="2"/>
      <c r="C138" s="125"/>
      <c r="D138" s="386"/>
    </row>
    <row r="139" spans="1:8" x14ac:dyDescent="0.25">
      <c r="A139" s="387"/>
      <c r="B139" s="2"/>
      <c r="C139" s="125"/>
      <c r="D139" s="386"/>
      <c r="E139" t="s">
        <v>1364</v>
      </c>
    </row>
    <row r="140" spans="1:8" x14ac:dyDescent="0.25">
      <c r="A140" s="387"/>
      <c r="B140" s="2"/>
      <c r="C140" s="125"/>
      <c r="D140" s="386"/>
    </row>
    <row r="141" spans="1:8" x14ac:dyDescent="0.25">
      <c r="A141" s="387"/>
      <c r="B141" s="2"/>
      <c r="C141" s="125"/>
      <c r="D141" s="386"/>
      <c r="E141" t="s">
        <v>1365</v>
      </c>
    </row>
    <row r="142" spans="1:8" x14ac:dyDescent="0.25">
      <c r="A142" s="387"/>
      <c r="B142" s="2"/>
      <c r="C142" s="125"/>
      <c r="E142" t="s">
        <v>1366</v>
      </c>
    </row>
    <row r="143" spans="1:8" x14ac:dyDescent="0.25">
      <c r="A143" s="387"/>
      <c r="B143" s="2"/>
      <c r="C143" s="125"/>
    </row>
    <row r="144" spans="1:8" x14ac:dyDescent="0.25">
      <c r="A144" s="387"/>
      <c r="B144" s="2"/>
      <c r="C144" s="125"/>
      <c r="E144" t="s">
        <v>1365</v>
      </c>
    </row>
    <row r="145" spans="1:5" x14ac:dyDescent="0.25">
      <c r="A145" s="387"/>
      <c r="B145" s="2"/>
      <c r="C145" s="125"/>
      <c r="E145" t="s">
        <v>1367</v>
      </c>
    </row>
    <row r="146" spans="1:5" x14ac:dyDescent="0.25">
      <c r="A146" s="387"/>
      <c r="B146" s="2"/>
      <c r="C146" s="125"/>
    </row>
    <row r="147" spans="1:5" x14ac:dyDescent="0.25">
      <c r="A147" s="387"/>
      <c r="B147" s="2"/>
      <c r="C147" s="125"/>
    </row>
    <row r="148" spans="1:5" x14ac:dyDescent="0.25">
      <c r="A148" s="387"/>
      <c r="B148" s="2"/>
      <c r="C148" s="125"/>
      <c r="E148" t="s">
        <v>1368</v>
      </c>
    </row>
    <row r="149" spans="1:5" x14ac:dyDescent="0.25">
      <c r="A149" s="387"/>
      <c r="B149" s="2"/>
      <c r="C149" s="125"/>
    </row>
    <row r="150" spans="1:5" x14ac:dyDescent="0.25">
      <c r="A150" s="387"/>
      <c r="B150" s="2"/>
      <c r="C150" s="125"/>
    </row>
    <row r="151" spans="1:5" x14ac:dyDescent="0.25">
      <c r="A151" s="387"/>
      <c r="B151" s="2"/>
      <c r="C151" s="125"/>
    </row>
    <row r="152" spans="1:5" x14ac:dyDescent="0.25">
      <c r="A152" s="387"/>
      <c r="B152" s="2"/>
      <c r="C152" s="125"/>
    </row>
    <row r="153" spans="1:5" x14ac:dyDescent="0.25">
      <c r="A153" s="387"/>
      <c r="B153" s="2"/>
      <c r="C153" s="125"/>
    </row>
    <row r="154" spans="1:5" x14ac:dyDescent="0.25">
      <c r="A154" s="387"/>
      <c r="B154" s="2"/>
      <c r="C154" s="125"/>
    </row>
    <row r="155" spans="1:5" x14ac:dyDescent="0.25">
      <c r="A155" s="387"/>
      <c r="B155" s="2"/>
      <c r="C155" s="125"/>
    </row>
    <row r="156" spans="1:5" x14ac:dyDescent="0.25">
      <c r="A156" s="387"/>
      <c r="B156" s="2"/>
      <c r="C156" s="125"/>
    </row>
    <row r="157" spans="1:5" x14ac:dyDescent="0.25">
      <c r="A157" s="387"/>
      <c r="B157" s="2"/>
      <c r="C157" s="125"/>
    </row>
    <row r="158" spans="1:5" x14ac:dyDescent="0.25">
      <c r="A158" s="387"/>
      <c r="B158" s="2"/>
      <c r="C158" s="125"/>
    </row>
    <row r="159" spans="1:5" x14ac:dyDescent="0.25">
      <c r="A159" s="387"/>
      <c r="B159" s="2"/>
      <c r="C159" s="125"/>
    </row>
    <row r="160" spans="1:5" x14ac:dyDescent="0.25">
      <c r="A160" s="387"/>
      <c r="B160" s="2"/>
      <c r="C160" s="125"/>
    </row>
    <row r="161" spans="1:3" x14ac:dyDescent="0.25">
      <c r="A161" s="387"/>
      <c r="B161" s="2"/>
      <c r="C161" s="125"/>
    </row>
    <row r="162" spans="1:3" x14ac:dyDescent="0.25">
      <c r="A162" s="387"/>
      <c r="B162" s="2"/>
      <c r="C162" s="125"/>
    </row>
    <row r="163" spans="1:3" x14ac:dyDescent="0.25">
      <c r="A163" s="387"/>
      <c r="B163" s="2"/>
      <c r="C163" s="125"/>
    </row>
    <row r="164" spans="1:3" x14ac:dyDescent="0.25">
      <c r="A164" s="387"/>
      <c r="B164" s="2"/>
      <c r="C164" s="125"/>
    </row>
    <row r="165" spans="1:3" x14ac:dyDescent="0.25">
      <c r="A165" s="387"/>
      <c r="B165" s="2"/>
      <c r="C165" s="125"/>
    </row>
    <row r="166" spans="1:3" x14ac:dyDescent="0.25">
      <c r="A166" s="387"/>
      <c r="B166" s="2"/>
      <c r="C166" s="125"/>
    </row>
    <row r="167" spans="1:3" x14ac:dyDescent="0.25">
      <c r="A167" s="387"/>
      <c r="B167" s="2"/>
      <c r="C167" s="125"/>
    </row>
    <row r="168" spans="1:3" x14ac:dyDescent="0.25">
      <c r="A168" s="387"/>
      <c r="B168" s="2"/>
      <c r="C168" s="125"/>
    </row>
    <row r="169" spans="1:3" x14ac:dyDescent="0.25">
      <c r="A169" s="124" t="s">
        <v>1369</v>
      </c>
      <c r="B169" s="389"/>
      <c r="C169" s="149">
        <f>SUM(C128:C168)</f>
        <v>0</v>
      </c>
    </row>
  </sheetData>
  <sortState ref="A9:I105">
    <sortCondition ref="A9:A105"/>
  </sortState>
  <mergeCells count="6">
    <mergeCell ref="F122:G122"/>
    <mergeCell ref="A3:I3"/>
    <mergeCell ref="A4:I4"/>
    <mergeCell ref="A5:I5"/>
    <mergeCell ref="A6:I6"/>
    <mergeCell ref="A7:I7"/>
  </mergeCell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W106"/>
  <sheetViews>
    <sheetView topLeftCell="JH1" zoomScale="90" zoomScaleNormal="90" workbookViewId="0">
      <pane ySplit="2" topLeftCell="A3" activePane="bottomLeft" state="frozen"/>
      <selection activeCell="HJ1" sqref="HJ1"/>
      <selection pane="bottomLeft" activeCell="JL12" sqref="JL12"/>
    </sheetView>
  </sheetViews>
  <sheetFormatPr baseColWidth="10" defaultRowHeight="15" x14ac:dyDescent="0.25"/>
  <cols>
    <col min="1" max="23" width="7.85546875" bestFit="1" customWidth="1"/>
    <col min="24" max="24" width="13.85546875" bestFit="1" customWidth="1"/>
    <col min="25" max="25" width="7.85546875" bestFit="1" customWidth="1"/>
    <col min="26" max="26" width="13.85546875" bestFit="1" customWidth="1"/>
    <col min="27" max="42" width="7.85546875" bestFit="1" customWidth="1"/>
    <col min="43" max="43" width="12.140625" bestFit="1" customWidth="1"/>
    <col min="44" max="44" width="7.85546875" bestFit="1" customWidth="1"/>
    <col min="45" max="45" width="12.140625" bestFit="1" customWidth="1"/>
    <col min="46" max="48" width="7.85546875" bestFit="1" customWidth="1"/>
    <col min="49" max="49" width="13.85546875" bestFit="1" customWidth="1"/>
    <col min="50" max="53" width="7.85546875" bestFit="1" customWidth="1"/>
    <col min="54" max="55" width="11.140625" bestFit="1" customWidth="1"/>
    <col min="56" max="60" width="7.85546875" bestFit="1" customWidth="1"/>
    <col min="61" max="61" width="12.140625" bestFit="1" customWidth="1"/>
    <col min="62" max="68" width="7.85546875" bestFit="1" customWidth="1"/>
    <col min="69" max="69" width="11.140625" bestFit="1" customWidth="1"/>
    <col min="70" max="74" width="7.85546875" bestFit="1" customWidth="1"/>
    <col min="75" max="75" width="12.140625" bestFit="1" customWidth="1"/>
    <col min="76" max="87" width="7.85546875" bestFit="1" customWidth="1"/>
    <col min="88" max="88" width="12.140625" bestFit="1" customWidth="1"/>
    <col min="89" max="89" width="7.85546875" bestFit="1" customWidth="1"/>
    <col min="90" max="90" width="12.140625" bestFit="1" customWidth="1"/>
    <col min="91" max="92" width="7.85546875" bestFit="1" customWidth="1"/>
    <col min="93" max="94" width="11.140625" bestFit="1" customWidth="1"/>
    <col min="95" max="98" width="7.85546875" bestFit="1" customWidth="1"/>
    <col min="99" max="99" width="12.140625" bestFit="1" customWidth="1"/>
    <col min="100" max="107" width="7.85546875" bestFit="1" customWidth="1"/>
    <col min="108" max="108" width="11.140625" bestFit="1" customWidth="1"/>
    <col min="109" max="109" width="12.140625" bestFit="1" customWidth="1"/>
    <col min="110" max="114" width="7.85546875" bestFit="1" customWidth="1"/>
    <col min="115" max="115" width="12.140625" bestFit="1" customWidth="1"/>
    <col min="116" max="120" width="7.85546875" bestFit="1" customWidth="1"/>
    <col min="121" max="121" width="11.140625" bestFit="1" customWidth="1"/>
    <col min="122" max="122" width="12.140625" bestFit="1" customWidth="1"/>
    <col min="123" max="125" width="7.85546875" bestFit="1" customWidth="1"/>
    <col min="126" max="127" width="12.140625" bestFit="1" customWidth="1"/>
    <col min="128" max="130" width="7.85546875" bestFit="1" customWidth="1"/>
    <col min="131" max="131" width="12.140625" bestFit="1" customWidth="1"/>
    <col min="132" max="134" width="7.85546875" bestFit="1" customWidth="1"/>
    <col min="135" max="135" width="12.140625" bestFit="1" customWidth="1"/>
    <col min="136" max="136" width="7.85546875" bestFit="1" customWidth="1"/>
    <col min="137" max="137" width="11.140625" bestFit="1" customWidth="1"/>
    <col min="138" max="142" width="7.85546875" bestFit="1" customWidth="1"/>
    <col min="143" max="143" width="11.140625" bestFit="1" customWidth="1"/>
    <col min="144" max="145" width="7.85546875" bestFit="1" customWidth="1"/>
    <col min="146" max="146" width="11.140625" bestFit="1" customWidth="1"/>
    <col min="147" max="147" width="7.85546875" bestFit="1" customWidth="1"/>
    <col min="148" max="148" width="10" bestFit="1" customWidth="1"/>
    <col min="149" max="156" width="7.85546875" bestFit="1" customWidth="1"/>
    <col min="157" max="157" width="12.140625" bestFit="1" customWidth="1"/>
    <col min="158" max="159" width="7.85546875" bestFit="1" customWidth="1"/>
    <col min="160" max="160" width="11.140625" bestFit="1" customWidth="1"/>
    <col min="161" max="165" width="7.85546875" bestFit="1" customWidth="1"/>
    <col min="166" max="166" width="12.140625" bestFit="1" customWidth="1"/>
    <col min="167" max="169" width="7.85546875" bestFit="1" customWidth="1"/>
    <col min="170" max="170" width="11.140625" bestFit="1" customWidth="1"/>
    <col min="171" max="172" width="7.85546875" bestFit="1" customWidth="1"/>
    <col min="173" max="173" width="12.140625" bestFit="1" customWidth="1"/>
    <col min="174" max="175" width="7.85546875" bestFit="1" customWidth="1"/>
    <col min="176" max="176" width="12.140625" bestFit="1" customWidth="1"/>
    <col min="177" max="182" width="7.85546875" bestFit="1" customWidth="1"/>
    <col min="183" max="184" width="11.140625" bestFit="1" customWidth="1"/>
    <col min="185" max="185" width="12.140625" bestFit="1" customWidth="1"/>
    <col min="186" max="186" width="13.85546875" bestFit="1" customWidth="1"/>
    <col min="187" max="191" width="7.85546875" bestFit="1" customWidth="1"/>
    <col min="192" max="192" width="7.85546875" customWidth="1"/>
    <col min="193" max="199" width="7.85546875" bestFit="1" customWidth="1"/>
    <col min="200" max="200" width="13.85546875" bestFit="1" customWidth="1"/>
    <col min="201" max="201" width="7.85546875" bestFit="1" customWidth="1"/>
    <col min="202" max="202" width="13.85546875" bestFit="1" customWidth="1"/>
    <col min="203" max="207" width="7.85546875" bestFit="1" customWidth="1"/>
    <col min="208" max="208" width="12.140625" bestFit="1" customWidth="1"/>
    <col min="209" max="213" width="7.85546875" bestFit="1" customWidth="1"/>
    <col min="214" max="214" width="12.140625" bestFit="1" customWidth="1"/>
    <col min="215" max="250" width="7.85546875" bestFit="1" customWidth="1"/>
    <col min="251" max="251" width="9" bestFit="1" customWidth="1"/>
    <col min="252" max="268" width="7.85546875" bestFit="1" customWidth="1"/>
    <col min="269" max="269" width="14.85546875" bestFit="1" customWidth="1"/>
    <col min="270" max="270" width="12.140625" bestFit="1" customWidth="1"/>
    <col min="271" max="271" width="14.85546875" bestFit="1" customWidth="1"/>
    <col min="272" max="272" width="13.85546875" bestFit="1" customWidth="1"/>
    <col min="273" max="273" width="17.7109375" bestFit="1" customWidth="1"/>
    <col min="274" max="274" width="15.28515625" customWidth="1"/>
    <col min="275" max="275" width="12.140625" bestFit="1" customWidth="1"/>
    <col min="276" max="276" width="18.42578125" bestFit="1" customWidth="1"/>
    <col min="1141" max="1141" width="11.42578125" style="1"/>
  </cols>
  <sheetData>
    <row r="1" spans="1:276" ht="23.25" x14ac:dyDescent="0.35">
      <c r="A1" s="409" t="s">
        <v>78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  <c r="AK1" s="409"/>
      <c r="AL1" s="409"/>
      <c r="AM1" s="409"/>
      <c r="AN1" s="409"/>
      <c r="AO1" s="409"/>
      <c r="AP1" s="409"/>
      <c r="AQ1" s="409"/>
      <c r="AR1" s="409"/>
      <c r="AS1" s="409"/>
      <c r="AT1" s="409"/>
      <c r="AU1" s="409"/>
      <c r="AV1" s="409"/>
      <c r="AW1" s="409"/>
      <c r="AX1" s="409"/>
      <c r="AY1" s="409"/>
      <c r="AZ1" s="409"/>
      <c r="BA1" s="409"/>
      <c r="BB1" s="409"/>
      <c r="BC1" s="409"/>
      <c r="BD1" s="409"/>
      <c r="BE1" s="409"/>
      <c r="BF1" s="409"/>
      <c r="BG1" s="409"/>
      <c r="BH1" s="409"/>
      <c r="BI1" s="409"/>
      <c r="BJ1" s="409"/>
      <c r="BK1" s="409"/>
      <c r="BL1" s="409"/>
      <c r="BM1" s="409"/>
      <c r="BN1" s="409"/>
      <c r="BO1" s="409"/>
      <c r="BP1" s="409"/>
      <c r="BQ1" s="409"/>
      <c r="BR1" s="409"/>
      <c r="BS1" s="409"/>
      <c r="BT1" s="409"/>
      <c r="BU1" s="409"/>
      <c r="BV1" s="409"/>
      <c r="BW1" s="409"/>
      <c r="BX1" s="409"/>
      <c r="BY1" s="409"/>
      <c r="BZ1" s="409"/>
      <c r="CA1" s="409"/>
      <c r="CB1" s="409"/>
      <c r="CC1" s="409"/>
      <c r="CD1" s="409"/>
      <c r="CE1" s="409"/>
      <c r="CF1" s="409"/>
      <c r="CG1" s="409"/>
      <c r="CH1" s="409"/>
      <c r="CI1" s="409"/>
      <c r="CJ1" s="409"/>
      <c r="CK1" s="409"/>
      <c r="CL1" s="409"/>
      <c r="CM1" s="409"/>
      <c r="CN1" s="409"/>
      <c r="CO1" s="409"/>
      <c r="CP1" s="409"/>
      <c r="CQ1" s="409"/>
      <c r="CR1" s="409"/>
      <c r="CS1" s="409"/>
      <c r="CT1" s="409"/>
      <c r="CU1" s="409"/>
      <c r="CV1" s="409"/>
      <c r="CW1" s="409"/>
      <c r="CX1" s="409"/>
      <c r="CY1" s="409"/>
      <c r="CZ1" s="409"/>
      <c r="DA1" s="409"/>
      <c r="DB1" s="409"/>
      <c r="DC1" s="409"/>
      <c r="DD1" s="409"/>
      <c r="DE1" s="409"/>
      <c r="DF1" s="409"/>
      <c r="DG1" s="409"/>
      <c r="DH1" s="409"/>
      <c r="DI1" s="409"/>
      <c r="DJ1" s="409"/>
      <c r="DK1" s="409"/>
      <c r="DL1" s="409"/>
      <c r="DM1" s="409"/>
      <c r="DN1" s="409"/>
      <c r="DO1" s="409"/>
      <c r="DP1" s="409"/>
      <c r="DQ1" s="409"/>
      <c r="DR1" s="409"/>
      <c r="DS1" s="409"/>
      <c r="DT1" s="409"/>
      <c r="DU1" s="409"/>
      <c r="DV1" s="409"/>
      <c r="DW1" s="409"/>
      <c r="DX1" s="409"/>
      <c r="DY1" s="409"/>
      <c r="DZ1" s="409"/>
      <c r="EA1" s="409"/>
      <c r="EB1" s="409"/>
      <c r="EC1" s="409"/>
      <c r="ED1" s="409"/>
      <c r="EE1" s="409"/>
      <c r="EF1" s="409"/>
      <c r="EG1" s="409"/>
      <c r="EH1" s="409"/>
      <c r="EI1" s="409"/>
      <c r="EJ1" s="409"/>
      <c r="EK1" s="409"/>
      <c r="EL1" s="409"/>
      <c r="EM1" s="409"/>
      <c r="EN1" s="409"/>
      <c r="EO1" s="409"/>
      <c r="EP1" s="409"/>
      <c r="EQ1" s="409"/>
      <c r="ER1" s="409"/>
      <c r="ES1" s="409"/>
      <c r="ET1" s="409"/>
      <c r="EU1" s="409"/>
      <c r="EV1" s="409"/>
      <c r="EW1" s="409"/>
      <c r="EX1" s="409"/>
      <c r="EY1" s="409"/>
      <c r="EZ1" s="409"/>
      <c r="FA1" s="409"/>
      <c r="FB1" s="409"/>
      <c r="FC1" s="409"/>
      <c r="FD1" s="409"/>
      <c r="FE1" s="409"/>
      <c r="FF1" s="409"/>
      <c r="FG1" s="409"/>
      <c r="FH1" s="409"/>
      <c r="FI1" s="409"/>
      <c r="FJ1" s="409"/>
      <c r="FK1" s="409"/>
      <c r="FL1" s="409"/>
      <c r="FM1" s="409"/>
      <c r="FN1" s="409"/>
      <c r="FO1" s="409"/>
      <c r="FP1" s="409"/>
      <c r="FQ1" s="409"/>
      <c r="FR1" s="409"/>
      <c r="FS1" s="409"/>
      <c r="FT1" s="409"/>
      <c r="FU1" s="409"/>
      <c r="FV1" s="409"/>
      <c r="FW1" s="409"/>
      <c r="FX1" s="409"/>
      <c r="FY1" s="409"/>
      <c r="FZ1" s="409"/>
      <c r="GA1" s="409"/>
      <c r="GB1" s="409"/>
      <c r="GC1" s="409"/>
      <c r="GD1" s="409"/>
      <c r="GE1" s="409"/>
      <c r="GF1" s="409"/>
      <c r="GG1" s="409"/>
      <c r="GH1" s="409"/>
      <c r="GI1" s="409"/>
      <c r="GJ1" s="409"/>
      <c r="GK1" s="409"/>
      <c r="GL1" s="409"/>
      <c r="GM1" s="409"/>
      <c r="GN1" s="409"/>
      <c r="GO1" s="409"/>
      <c r="GP1" s="409"/>
      <c r="GQ1" s="409"/>
      <c r="GR1" s="409"/>
      <c r="GS1" s="409"/>
      <c r="GT1" s="409"/>
      <c r="GU1" s="409"/>
      <c r="GV1" s="409"/>
      <c r="GW1" s="409"/>
      <c r="GX1" s="409"/>
      <c r="GY1" s="409"/>
      <c r="GZ1" s="409"/>
      <c r="HA1" s="409"/>
      <c r="HB1" s="409"/>
      <c r="HC1" s="409"/>
      <c r="HD1" s="409"/>
      <c r="HE1" s="409"/>
      <c r="HF1" s="409"/>
      <c r="HG1" s="409"/>
      <c r="HH1" s="409"/>
      <c r="HI1" s="409"/>
      <c r="HJ1" s="409"/>
      <c r="HK1" s="409"/>
      <c r="HL1" s="409"/>
      <c r="HM1" s="409"/>
      <c r="HN1" s="409"/>
      <c r="HO1" s="409"/>
      <c r="HP1" s="409"/>
      <c r="HQ1" s="409"/>
      <c r="HR1" s="409"/>
      <c r="HS1" s="409"/>
      <c r="HT1" s="409"/>
      <c r="HU1" s="409"/>
      <c r="HV1" s="409"/>
      <c r="HW1" s="409"/>
      <c r="HX1" s="409"/>
      <c r="HY1" s="409"/>
      <c r="HZ1" s="409"/>
      <c r="IA1" s="409"/>
      <c r="IB1" s="409"/>
      <c r="IC1" s="409"/>
      <c r="ID1" s="409"/>
      <c r="IE1" s="409"/>
      <c r="IF1" s="409"/>
      <c r="IG1" s="409"/>
      <c r="IH1" s="409"/>
      <c r="II1" s="409"/>
      <c r="IJ1" s="409"/>
      <c r="IK1" s="409"/>
      <c r="IL1" s="409"/>
      <c r="IM1" s="409"/>
      <c r="IN1" s="409"/>
      <c r="IO1" s="409"/>
      <c r="IP1" s="409"/>
      <c r="IQ1" s="409"/>
      <c r="IR1" s="409"/>
      <c r="IS1" s="409"/>
      <c r="IT1" s="409"/>
      <c r="IU1" s="409"/>
      <c r="IV1" s="409"/>
      <c r="IW1" s="409"/>
      <c r="IX1" s="409"/>
      <c r="IY1" s="409"/>
      <c r="IZ1" s="409"/>
      <c r="JA1" s="409"/>
      <c r="JB1" s="409"/>
      <c r="JC1" s="409"/>
      <c r="JD1" s="409"/>
      <c r="JE1" s="409"/>
      <c r="JF1" s="409"/>
      <c r="JG1" s="409"/>
      <c r="JH1" s="409"/>
    </row>
    <row r="2" spans="1:276" ht="18.75" x14ac:dyDescent="0.3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124" t="s">
        <v>375</v>
      </c>
      <c r="JK2" s="124" t="s">
        <v>376</v>
      </c>
      <c r="JL2" s="124" t="s">
        <v>373</v>
      </c>
      <c r="JM2" s="124" t="s">
        <v>377</v>
      </c>
      <c r="JN2" s="124">
        <v>2022</v>
      </c>
      <c r="JO2" s="124" t="s">
        <v>348</v>
      </c>
      <c r="JP2" s="124" t="s">
        <v>378</v>
      </c>
    </row>
    <row r="3" spans="1:276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>
        <v>247030.86</v>
      </c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247030.86</v>
      </c>
      <c r="JJ3" s="2">
        <v>130</v>
      </c>
      <c r="JK3" s="122"/>
      <c r="JL3" s="125"/>
      <c r="JM3" s="125"/>
      <c r="JN3" s="125"/>
      <c r="JO3" s="125"/>
      <c r="JP3" s="125"/>
    </row>
    <row r="4" spans="1:276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>
        <v>760000</v>
      </c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87" si="0">SUM(A4:JH4)</f>
        <v>760000</v>
      </c>
      <c r="JJ4" s="2">
        <v>131</v>
      </c>
      <c r="JK4" s="122"/>
      <c r="JL4" s="125"/>
      <c r="JM4" s="125"/>
      <c r="JN4" s="125"/>
      <c r="JO4" s="125"/>
      <c r="JP4" s="125"/>
    </row>
    <row r="5" spans="1:276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>
        <v>104532.2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104532.2</v>
      </c>
      <c r="JJ5" s="2">
        <v>132</v>
      </c>
      <c r="JK5" s="122"/>
      <c r="JL5" s="125"/>
      <c r="JM5" s="125"/>
      <c r="JN5" s="125"/>
      <c r="JO5" s="125"/>
      <c r="JP5" s="125"/>
    </row>
    <row r="6" spans="1:276" x14ac:dyDescent="0.2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>
        <v>200000</v>
      </c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200000</v>
      </c>
      <c r="JJ6" s="2">
        <v>133</v>
      </c>
      <c r="JK6" s="122"/>
      <c r="JL6" s="125"/>
      <c r="JM6" s="125"/>
      <c r="JN6" s="125"/>
      <c r="JO6" s="125"/>
      <c r="JP6" s="125"/>
    </row>
    <row r="7" spans="1:276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>
        <v>104427.01</v>
      </c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104427.01</v>
      </c>
      <c r="JJ7" s="2">
        <v>134</v>
      </c>
      <c r="JK7" s="122"/>
      <c r="JL7" s="125"/>
      <c r="JM7" s="125"/>
      <c r="JN7" s="125"/>
      <c r="JO7" s="125"/>
      <c r="JP7" s="125"/>
    </row>
    <row r="8" spans="1:276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0</v>
      </c>
      <c r="JJ8" s="2">
        <v>135</v>
      </c>
      <c r="JK8" s="122"/>
      <c r="JL8" s="125"/>
      <c r="JM8" s="125"/>
      <c r="JN8" s="125"/>
      <c r="JO8" s="125"/>
      <c r="JP8" s="125"/>
    </row>
    <row r="9" spans="1:276" x14ac:dyDescent="0.25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0</v>
      </c>
      <c r="JJ9" s="2">
        <v>136</v>
      </c>
      <c r="JK9" s="122"/>
      <c r="JL9" s="125"/>
      <c r="JM9" s="125"/>
      <c r="JN9" s="125"/>
      <c r="JO9" s="125"/>
      <c r="JP9" s="125"/>
    </row>
    <row r="10" spans="1:276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>
        <v>26821.4</v>
      </c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26821.4</v>
      </c>
      <c r="JJ10" s="2">
        <v>137</v>
      </c>
      <c r="JK10" s="122"/>
      <c r="JL10" s="125"/>
      <c r="JM10" s="125"/>
      <c r="JN10" s="125"/>
      <c r="JO10" s="125"/>
      <c r="JP10" s="125"/>
    </row>
    <row r="11" spans="1:276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>
        <v>26821.4</v>
      </c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26821.4</v>
      </c>
      <c r="JJ11" s="2">
        <v>138</v>
      </c>
      <c r="JK11" s="122"/>
      <c r="JL11" s="125"/>
      <c r="JM11" s="125"/>
      <c r="JN11" s="125"/>
      <c r="JO11" s="125"/>
      <c r="JP11" s="125"/>
    </row>
    <row r="12" spans="1:276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>
        <v>53100</v>
      </c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53100</v>
      </c>
      <c r="JJ12" s="2">
        <v>139</v>
      </c>
      <c r="JK12" s="122"/>
      <c r="JL12" s="125"/>
      <c r="JM12" s="125"/>
      <c r="JN12" s="125"/>
      <c r="JO12" s="125"/>
      <c r="JP12" s="125"/>
    </row>
    <row r="13" spans="1:276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>
        <v>70800</v>
      </c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70800</v>
      </c>
      <c r="JJ13" s="2">
        <v>140</v>
      </c>
      <c r="JK13" s="122"/>
      <c r="JL13" s="125"/>
      <c r="JM13" s="125"/>
      <c r="JN13" s="125"/>
      <c r="JO13" s="125"/>
      <c r="JP13" s="125"/>
    </row>
    <row r="14" spans="1:276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>
        <v>10000</v>
      </c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10000</v>
      </c>
      <c r="JJ14" s="2">
        <v>141</v>
      </c>
      <c r="JK14" s="122"/>
      <c r="JL14" s="125"/>
      <c r="JM14" s="125"/>
      <c r="JN14" s="125"/>
      <c r="JO14" s="125"/>
      <c r="JP14" s="125"/>
    </row>
    <row r="15" spans="1:276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>
        <v>50958</v>
      </c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50958</v>
      </c>
      <c r="JJ15" s="2">
        <v>142</v>
      </c>
      <c r="JK15" s="122"/>
      <c r="JL15" s="125"/>
      <c r="JM15" s="125"/>
      <c r="JN15" s="125"/>
      <c r="JO15" s="125"/>
      <c r="JP15" s="125"/>
    </row>
    <row r="16" spans="1:276" x14ac:dyDescent="0.2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>
        <v>621205.1</v>
      </c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621205.1</v>
      </c>
      <c r="JJ16" s="2">
        <v>143</v>
      </c>
      <c r="JK16" s="122"/>
      <c r="JL16" s="125"/>
      <c r="JM16" s="125"/>
      <c r="JN16" s="125"/>
      <c r="JO16" s="125"/>
      <c r="JP16" s="125"/>
    </row>
    <row r="17" spans="1:276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>
        <v>172000</v>
      </c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172000</v>
      </c>
      <c r="JJ17" s="2">
        <v>144</v>
      </c>
      <c r="JK17" s="122"/>
      <c r="JL17" s="125"/>
      <c r="JM17" s="125"/>
      <c r="JN17" s="125"/>
      <c r="JO17" s="125"/>
      <c r="JP17" s="125"/>
    </row>
    <row r="18" spans="1:276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>
        <v>846850</v>
      </c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846850</v>
      </c>
      <c r="JJ18" s="2">
        <v>145</v>
      </c>
      <c r="JK18" s="122"/>
      <c r="JL18" s="125"/>
      <c r="JM18" s="125"/>
      <c r="JN18" s="125"/>
      <c r="JO18" s="125"/>
      <c r="JP18" s="125"/>
    </row>
    <row r="19" spans="1:276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>
        <v>108265</v>
      </c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108265</v>
      </c>
      <c r="JJ19" s="2">
        <v>146</v>
      </c>
      <c r="JK19" s="122"/>
      <c r="JL19" s="125"/>
      <c r="JM19" s="125"/>
      <c r="JN19" s="125"/>
      <c r="JO19" s="125"/>
      <c r="JP19" s="125"/>
    </row>
    <row r="20" spans="1:276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>
        <v>23868</v>
      </c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23868</v>
      </c>
      <c r="JJ20" s="2">
        <v>147</v>
      </c>
      <c r="JK20" s="122"/>
      <c r="JL20" s="125"/>
      <c r="JM20" s="125"/>
      <c r="JN20" s="125"/>
      <c r="JO20" s="125"/>
      <c r="JP20" s="125"/>
    </row>
    <row r="21" spans="1:276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>
        <v>32000</v>
      </c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32000</v>
      </c>
      <c r="JJ21" s="2">
        <v>148</v>
      </c>
      <c r="JK21" s="122"/>
      <c r="JL21" s="125"/>
      <c r="JM21" s="125"/>
      <c r="JN21" s="125"/>
      <c r="JO21" s="125"/>
      <c r="JP21" s="125"/>
    </row>
    <row r="22" spans="1:276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>
        <v>227500</v>
      </c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227500</v>
      </c>
      <c r="JJ22" s="2">
        <v>149</v>
      </c>
      <c r="JK22" s="122"/>
      <c r="JL22" s="125"/>
      <c r="JM22" s="125"/>
      <c r="JN22" s="125"/>
      <c r="JO22" s="125"/>
      <c r="JP22" s="125"/>
    </row>
    <row r="23" spans="1:276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>
        <v>271400</v>
      </c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271400</v>
      </c>
      <c r="JJ23" s="2">
        <v>150</v>
      </c>
      <c r="JK23" s="122"/>
      <c r="JL23" s="125"/>
      <c r="JM23" s="125"/>
      <c r="JN23" s="125"/>
      <c r="JO23" s="125"/>
      <c r="JP23" s="125"/>
    </row>
    <row r="24" spans="1:276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>
        <v>1590510.2</v>
      </c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1590510.2</v>
      </c>
      <c r="JJ24" s="2">
        <v>151</v>
      </c>
      <c r="JK24" s="122"/>
      <c r="JL24" s="125"/>
      <c r="JM24" s="125"/>
      <c r="JN24" s="125"/>
      <c r="JO24" s="125"/>
      <c r="JP24" s="125"/>
    </row>
    <row r="25" spans="1:276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>
        <v>39530</v>
      </c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39530</v>
      </c>
      <c r="JJ25" s="2">
        <v>152</v>
      </c>
      <c r="JK25" s="122"/>
      <c r="JL25" s="125"/>
      <c r="JM25" s="125"/>
      <c r="JN25" s="125"/>
      <c r="JO25" s="125"/>
      <c r="JP25" s="125"/>
    </row>
    <row r="26" spans="1:276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>
        <v>91875</v>
      </c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91875</v>
      </c>
      <c r="JJ26" s="2">
        <v>153</v>
      </c>
      <c r="JK26" s="122"/>
      <c r="JL26" s="125"/>
      <c r="JM26" s="125"/>
      <c r="JN26" s="125"/>
      <c r="JO26" s="125"/>
      <c r="JP26" s="125"/>
    </row>
    <row r="27" spans="1:276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>
        <v>98506.4</v>
      </c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98506.4</v>
      </c>
      <c r="JJ27" s="2">
        <v>154</v>
      </c>
      <c r="JK27" s="122"/>
      <c r="JL27" s="125"/>
      <c r="JM27" s="125"/>
      <c r="JN27" s="125"/>
      <c r="JO27" s="125"/>
      <c r="JP27" s="125"/>
    </row>
    <row r="28" spans="1:276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>
        <v>141128</v>
      </c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141128</v>
      </c>
      <c r="JJ28" s="2">
        <v>155</v>
      </c>
      <c r="JK28" s="122"/>
      <c r="JL28" s="125"/>
      <c r="JM28" s="125"/>
      <c r="JN28" s="125"/>
      <c r="JO28" s="125"/>
      <c r="JP28" s="125"/>
    </row>
    <row r="29" spans="1:276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>
        <v>263200</v>
      </c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263200</v>
      </c>
      <c r="JJ29" s="2">
        <v>156</v>
      </c>
      <c r="JK29" s="122"/>
      <c r="JL29" s="125"/>
      <c r="JM29" s="125"/>
      <c r="JN29" s="125"/>
      <c r="JO29" s="125"/>
      <c r="JP29" s="125"/>
    </row>
    <row r="30" spans="1:276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>
        <v>70000</v>
      </c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70000</v>
      </c>
      <c r="JJ30" s="2">
        <f>+JJ29+1</f>
        <v>157</v>
      </c>
      <c r="JK30" s="122"/>
      <c r="JL30" s="125"/>
      <c r="JM30" s="125"/>
      <c r="JN30" s="125"/>
      <c r="JO30" s="125"/>
      <c r="JP30" s="125"/>
    </row>
    <row r="31" spans="1:276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>
        <v>42000</v>
      </c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42000</v>
      </c>
      <c r="JJ31" s="2">
        <f t="shared" ref="JJ31:JJ46" si="1">+JJ30+1</f>
        <v>158</v>
      </c>
      <c r="JK31" s="122"/>
      <c r="JL31" s="125"/>
      <c r="JM31" s="125"/>
      <c r="JN31" s="125"/>
      <c r="JO31" s="125"/>
      <c r="JP31" s="125"/>
    </row>
    <row r="32" spans="1:276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>
        <v>37996</v>
      </c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37996</v>
      </c>
      <c r="JJ32" s="2">
        <f t="shared" si="1"/>
        <v>159</v>
      </c>
      <c r="JK32" s="122"/>
      <c r="JL32" s="125"/>
      <c r="JM32" s="125"/>
      <c r="JN32" s="125"/>
      <c r="JO32" s="125"/>
      <c r="JP32" s="125"/>
    </row>
    <row r="33" spans="1:276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>
        <v>9912</v>
      </c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9912</v>
      </c>
      <c r="JJ33" s="2">
        <f t="shared" si="1"/>
        <v>160</v>
      </c>
      <c r="JK33" s="122"/>
      <c r="JL33" s="125"/>
      <c r="JM33" s="125"/>
      <c r="JN33" s="125"/>
      <c r="JO33" s="125"/>
      <c r="JP33" s="125"/>
    </row>
    <row r="34" spans="1:276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>
        <v>55241.4</v>
      </c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>
        <v>10226.89</v>
      </c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65468.29</v>
      </c>
      <c r="JJ34" s="2">
        <f t="shared" si="1"/>
        <v>161</v>
      </c>
      <c r="JK34" s="122"/>
      <c r="JL34" s="125"/>
      <c r="JM34" s="125"/>
      <c r="JN34" s="125"/>
      <c r="JO34" s="125"/>
      <c r="JP34" s="125"/>
    </row>
    <row r="35" spans="1:276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>
        <v>88100</v>
      </c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88100</v>
      </c>
      <c r="JJ35" s="2">
        <f t="shared" si="1"/>
        <v>162</v>
      </c>
      <c r="JK35" s="122"/>
      <c r="JL35" s="125"/>
      <c r="JM35" s="125"/>
      <c r="JN35" s="125"/>
      <c r="JO35" s="125"/>
      <c r="JP35" s="125"/>
    </row>
    <row r="36" spans="1:276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0</v>
      </c>
      <c r="JJ36" s="2">
        <f t="shared" si="1"/>
        <v>163</v>
      </c>
      <c r="JK36" s="122"/>
      <c r="JL36" s="125"/>
      <c r="JM36" s="125"/>
      <c r="JN36" s="125"/>
      <c r="JO36" s="125"/>
      <c r="JP36" s="125"/>
    </row>
    <row r="37" spans="1:276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0</v>
      </c>
      <c r="JJ37" s="2">
        <f t="shared" si="1"/>
        <v>164</v>
      </c>
      <c r="JK37" s="122"/>
      <c r="JL37" s="125"/>
      <c r="JM37" s="125"/>
      <c r="JN37" s="125"/>
      <c r="JO37" s="125"/>
      <c r="JP37" s="125"/>
    </row>
    <row r="38" spans="1:276" x14ac:dyDescent="0.25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>
        <v>104504.21</v>
      </c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104504.21</v>
      </c>
      <c r="JJ38" s="2">
        <f t="shared" si="1"/>
        <v>165</v>
      </c>
      <c r="JK38" s="122"/>
      <c r="JL38" s="125"/>
      <c r="JM38" s="125"/>
      <c r="JN38" s="125"/>
      <c r="JO38" s="125"/>
      <c r="JP38" s="125"/>
    </row>
    <row r="39" spans="1:276" x14ac:dyDescent="0.2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>
        <v>17033</v>
      </c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17033</v>
      </c>
      <c r="JJ39" s="2">
        <f t="shared" si="1"/>
        <v>166</v>
      </c>
      <c r="JK39" s="122"/>
      <c r="JL39" s="125"/>
      <c r="JM39" s="125"/>
      <c r="JN39" s="125"/>
      <c r="JO39" s="125"/>
      <c r="JP39" s="125"/>
    </row>
    <row r="40" spans="1:276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>
        <v>25000</v>
      </c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25000</v>
      </c>
      <c r="JJ40" s="2">
        <f>+JJ39+1</f>
        <v>167</v>
      </c>
      <c r="JK40" s="122"/>
      <c r="JL40" s="125"/>
      <c r="JM40" s="125"/>
      <c r="JN40" s="125"/>
      <c r="JO40" s="125"/>
      <c r="JP40" s="125"/>
    </row>
    <row r="41" spans="1:276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>
        <v>24000</v>
      </c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24000</v>
      </c>
      <c r="JJ41" s="2">
        <f t="shared" si="1"/>
        <v>168</v>
      </c>
      <c r="JK41" s="122"/>
      <c r="JL41" s="125"/>
      <c r="JM41" s="125"/>
      <c r="JN41" s="125"/>
      <c r="JO41" s="125"/>
      <c r="JP41" s="125"/>
    </row>
    <row r="42" spans="1:276" x14ac:dyDescent="0.2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>
        <v>229519.78</v>
      </c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229519.78</v>
      </c>
      <c r="JJ42" s="2">
        <f t="shared" si="1"/>
        <v>169</v>
      </c>
      <c r="JK42" s="122"/>
      <c r="JL42" s="125"/>
      <c r="JM42" s="125"/>
      <c r="JN42" s="125"/>
      <c r="JO42" s="125"/>
      <c r="JP42" s="125"/>
    </row>
    <row r="43" spans="1:276" x14ac:dyDescent="0.2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>
        <v>23205</v>
      </c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23205</v>
      </c>
      <c r="JJ43" s="2">
        <f t="shared" si="1"/>
        <v>170</v>
      </c>
      <c r="JK43" s="122"/>
      <c r="JL43" s="125"/>
      <c r="JM43" s="125"/>
      <c r="JN43" s="125"/>
      <c r="JO43" s="125"/>
      <c r="JP43" s="125"/>
    </row>
    <row r="44" spans="1:276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>
        <v>4578.3999999999996</v>
      </c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4578.3999999999996</v>
      </c>
      <c r="JJ44" s="2">
        <f t="shared" si="1"/>
        <v>171</v>
      </c>
      <c r="JK44" s="122"/>
      <c r="JL44" s="125"/>
      <c r="JM44" s="125"/>
      <c r="JN44" s="125"/>
      <c r="JO44" s="125"/>
      <c r="JP44" s="125"/>
    </row>
    <row r="45" spans="1:276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>
        <v>1705100</v>
      </c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1705100</v>
      </c>
      <c r="JJ45" s="2">
        <f t="shared" si="1"/>
        <v>172</v>
      </c>
      <c r="JK45" s="122"/>
      <c r="JL45" s="125"/>
      <c r="JM45" s="125"/>
      <c r="JN45" s="125"/>
      <c r="JO45" s="125"/>
      <c r="JP45" s="125"/>
    </row>
    <row r="46" spans="1:276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>
        <v>50000</v>
      </c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50000</v>
      </c>
      <c r="JJ46" s="2">
        <f t="shared" si="1"/>
        <v>173</v>
      </c>
      <c r="JK46" s="122"/>
      <c r="JL46" s="125"/>
      <c r="JM46" s="125"/>
      <c r="JN46" s="125"/>
      <c r="JO46" s="125"/>
      <c r="JP46" s="125"/>
    </row>
    <row r="47" spans="1:276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>
        <v>10650</v>
      </c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10650</v>
      </c>
      <c r="JJ47" s="2">
        <v>37223</v>
      </c>
      <c r="JK47" s="122"/>
      <c r="JL47" s="125"/>
      <c r="JM47" s="125"/>
      <c r="JN47" s="125"/>
      <c r="JO47" s="125"/>
      <c r="JP47" s="125"/>
    </row>
    <row r="48" spans="1:276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>
        <v>54184.86</v>
      </c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54184.86</v>
      </c>
      <c r="JJ48" s="2">
        <v>37224</v>
      </c>
      <c r="JK48" s="122"/>
      <c r="JL48" s="125"/>
      <c r="JM48" s="125"/>
      <c r="JN48" s="125"/>
      <c r="JO48" s="125"/>
      <c r="JP48" s="125"/>
    </row>
    <row r="49" spans="1:276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>
        <v>15000</v>
      </c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15000</v>
      </c>
      <c r="JJ49" s="2">
        <v>37225</v>
      </c>
      <c r="JK49" s="122"/>
      <c r="JL49" s="125"/>
      <c r="JM49" s="125"/>
      <c r="JN49" s="125"/>
      <c r="JO49" s="125"/>
      <c r="JP49" s="125"/>
    </row>
    <row r="50" spans="1:276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>
        <v>3400</v>
      </c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3400</v>
      </c>
      <c r="JJ50" s="2">
        <v>37226</v>
      </c>
      <c r="JK50" s="122"/>
      <c r="JL50" s="125"/>
      <c r="JM50" s="125"/>
      <c r="JN50" s="125"/>
      <c r="JO50" s="125"/>
      <c r="JP50" s="125"/>
    </row>
    <row r="51" spans="1:276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>
        <v>25000</v>
      </c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25000</v>
      </c>
      <c r="JJ51" s="2">
        <v>37227</v>
      </c>
      <c r="JK51" s="122"/>
      <c r="JL51" s="125"/>
      <c r="JM51" s="125"/>
      <c r="JN51" s="125"/>
      <c r="JO51" s="125"/>
      <c r="JP51" s="125"/>
    </row>
    <row r="52" spans="1:276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>
        <v>12040.81</v>
      </c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12040.81</v>
      </c>
      <c r="JJ52" s="2">
        <v>37228</v>
      </c>
      <c r="JK52" s="122"/>
      <c r="JL52" s="125"/>
      <c r="JM52" s="125"/>
      <c r="JN52" s="125"/>
      <c r="JO52" s="125"/>
      <c r="JP52" s="125"/>
    </row>
    <row r="53" spans="1:276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>
        <v>50620</v>
      </c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50620</v>
      </c>
      <c r="JJ53" s="2">
        <v>37229</v>
      </c>
      <c r="JK53" s="122"/>
      <c r="JL53" s="125"/>
      <c r="JM53" s="125"/>
      <c r="JN53" s="125"/>
      <c r="JO53" s="125"/>
      <c r="JP53" s="125"/>
    </row>
    <row r="54" spans="1:276" x14ac:dyDescent="0.25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>
        <v>18061.22</v>
      </c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18061.22</v>
      </c>
      <c r="JJ54" s="2">
        <v>37230</v>
      </c>
      <c r="JK54" s="122"/>
      <c r="JL54" s="125"/>
      <c r="JM54" s="125"/>
      <c r="JN54" s="125"/>
      <c r="JO54" s="125"/>
      <c r="JP54" s="125"/>
    </row>
    <row r="55" spans="1:276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>
        <v>21673.47</v>
      </c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21673.47</v>
      </c>
      <c r="JJ55" s="2">
        <v>37231</v>
      </c>
      <c r="JK55" s="122"/>
      <c r="JL55" s="125"/>
      <c r="JM55" s="125"/>
      <c r="JN55" s="125"/>
      <c r="JO55" s="125"/>
      <c r="JP55" s="125"/>
    </row>
    <row r="56" spans="1:276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>
        <v>18061.22</v>
      </c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18061.22</v>
      </c>
      <c r="JJ56" s="2">
        <v>37232</v>
      </c>
      <c r="JK56" s="122"/>
      <c r="JL56" s="125"/>
      <c r="JM56" s="125"/>
      <c r="JN56" s="125"/>
      <c r="JO56" s="125"/>
      <c r="JP56" s="125"/>
    </row>
    <row r="57" spans="1:276" x14ac:dyDescent="0.25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>
        <v>9632.66</v>
      </c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0"/>
        <v>9632.66</v>
      </c>
      <c r="JJ57" s="2">
        <v>37233</v>
      </c>
      <c r="JK57" s="122"/>
      <c r="JL57" s="125"/>
      <c r="JM57" s="125"/>
      <c r="JN57" s="125"/>
      <c r="JO57" s="125"/>
      <c r="JP57" s="125"/>
    </row>
    <row r="58" spans="1:276" x14ac:dyDescent="0.25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>
        <v>20000</v>
      </c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/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  <c r="GJ58" s="122"/>
      <c r="GK58" s="122"/>
      <c r="GL58" s="122"/>
      <c r="GM58" s="122"/>
      <c r="GN58" s="122"/>
      <c r="GO58" s="122"/>
      <c r="GP58" s="122"/>
      <c r="GQ58" s="122"/>
      <c r="GR58" s="122"/>
      <c r="GS58" s="122"/>
      <c r="GT58" s="122"/>
      <c r="GU58" s="122"/>
      <c r="GV58" s="122"/>
      <c r="GW58" s="122"/>
      <c r="GX58" s="122"/>
      <c r="GY58" s="122"/>
      <c r="GZ58" s="122"/>
      <c r="HA58" s="122"/>
      <c r="HB58" s="122"/>
      <c r="HC58" s="122"/>
      <c r="HD58" s="122"/>
      <c r="HE58" s="122"/>
      <c r="HF58" s="122"/>
      <c r="HG58" s="122"/>
      <c r="HH58" s="122"/>
      <c r="HI58" s="122"/>
      <c r="HJ58" s="122"/>
      <c r="HK58" s="122"/>
      <c r="HL58" s="122"/>
      <c r="HM58" s="122"/>
      <c r="HN58" s="122"/>
      <c r="HO58" s="122"/>
      <c r="HP58" s="122"/>
      <c r="HQ58" s="122"/>
      <c r="HR58" s="122"/>
      <c r="HS58" s="122"/>
      <c r="HT58" s="122"/>
      <c r="HU58" s="122"/>
      <c r="HV58" s="122"/>
      <c r="HW58" s="122"/>
      <c r="HX58" s="122"/>
      <c r="HY58" s="122"/>
      <c r="HZ58" s="122"/>
      <c r="IA58" s="122"/>
      <c r="IB58" s="122"/>
      <c r="IC58" s="122"/>
      <c r="ID58" s="122"/>
      <c r="IE58" s="122"/>
      <c r="IF58" s="122"/>
      <c r="IG58" s="122"/>
      <c r="IH58" s="122"/>
      <c r="II58" s="122"/>
      <c r="IJ58" s="122"/>
      <c r="IK58" s="122"/>
      <c r="IL58" s="122"/>
      <c r="IM58" s="122"/>
      <c r="IN58" s="122"/>
      <c r="IO58" s="122"/>
      <c r="IP58" s="122"/>
      <c r="IQ58" s="122"/>
      <c r="IR58" s="122"/>
      <c r="IS58" s="122"/>
      <c r="IT58" s="122"/>
      <c r="IU58" s="122"/>
      <c r="IV58" s="122"/>
      <c r="IW58" s="122"/>
      <c r="IX58" s="122"/>
      <c r="IY58" s="122"/>
      <c r="IZ58" s="122"/>
      <c r="JA58" s="122"/>
      <c r="JB58" s="122"/>
      <c r="JC58" s="122"/>
      <c r="JD58" s="122"/>
      <c r="JE58" s="122"/>
      <c r="JF58" s="122"/>
      <c r="JG58" s="122"/>
      <c r="JH58" s="122"/>
      <c r="JI58" s="119">
        <f t="shared" si="0"/>
        <v>20000</v>
      </c>
      <c r="JJ58" s="2">
        <v>37234</v>
      </c>
      <c r="JK58" s="122"/>
      <c r="JL58" s="125"/>
      <c r="JM58" s="125"/>
      <c r="JN58" s="125"/>
      <c r="JO58" s="125"/>
      <c r="JP58" s="125"/>
    </row>
    <row r="59" spans="1:276" x14ac:dyDescent="0.25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>
        <v>72244.899999999994</v>
      </c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/>
      <c r="GC59" s="122"/>
      <c r="GD59" s="122"/>
      <c r="GE59" s="122"/>
      <c r="GF59" s="122"/>
      <c r="GG59" s="122"/>
      <c r="GH59" s="122"/>
      <c r="GI59" s="122"/>
      <c r="GJ59" s="122"/>
      <c r="GK59" s="122"/>
      <c r="GL59" s="122"/>
      <c r="GM59" s="122"/>
      <c r="GN59" s="122"/>
      <c r="GO59" s="122"/>
      <c r="GP59" s="122"/>
      <c r="GQ59" s="122"/>
      <c r="GR59" s="122"/>
      <c r="GS59" s="122"/>
      <c r="GT59" s="122"/>
      <c r="GU59" s="122"/>
      <c r="GV59" s="122"/>
      <c r="GW59" s="122"/>
      <c r="GX59" s="122"/>
      <c r="GY59" s="122"/>
      <c r="GZ59" s="122"/>
      <c r="HA59" s="122"/>
      <c r="HB59" s="122"/>
      <c r="HC59" s="122"/>
      <c r="HD59" s="122"/>
      <c r="HE59" s="122"/>
      <c r="HF59" s="122"/>
      <c r="HG59" s="122"/>
      <c r="HH59" s="122"/>
      <c r="HI59" s="122"/>
      <c r="HJ59" s="122"/>
      <c r="HK59" s="122"/>
      <c r="HL59" s="122"/>
      <c r="HM59" s="122"/>
      <c r="HN59" s="122"/>
      <c r="HO59" s="122"/>
      <c r="HP59" s="122"/>
      <c r="HQ59" s="122"/>
      <c r="HR59" s="122"/>
      <c r="HS59" s="122"/>
      <c r="HT59" s="122"/>
      <c r="HU59" s="122"/>
      <c r="HV59" s="122"/>
      <c r="HW59" s="122"/>
      <c r="HX59" s="122"/>
      <c r="HY59" s="122"/>
      <c r="HZ59" s="122"/>
      <c r="IA59" s="122"/>
      <c r="IB59" s="122"/>
      <c r="IC59" s="122"/>
      <c r="ID59" s="122"/>
      <c r="IE59" s="122"/>
      <c r="IF59" s="122"/>
      <c r="IG59" s="122"/>
      <c r="IH59" s="122"/>
      <c r="II59" s="122"/>
      <c r="IJ59" s="122"/>
      <c r="IK59" s="122"/>
      <c r="IL59" s="122"/>
      <c r="IM59" s="122"/>
      <c r="IN59" s="122"/>
      <c r="IO59" s="122"/>
      <c r="IP59" s="122"/>
      <c r="IQ59" s="122"/>
      <c r="IR59" s="122"/>
      <c r="IS59" s="122"/>
      <c r="IT59" s="122"/>
      <c r="IU59" s="122"/>
      <c r="IV59" s="122"/>
      <c r="IW59" s="122"/>
      <c r="IX59" s="122"/>
      <c r="IY59" s="122"/>
      <c r="IZ59" s="122"/>
      <c r="JA59" s="122"/>
      <c r="JB59" s="122"/>
      <c r="JC59" s="122"/>
      <c r="JD59" s="122"/>
      <c r="JE59" s="122"/>
      <c r="JF59" s="122"/>
      <c r="JG59" s="122"/>
      <c r="JH59" s="122"/>
      <c r="JI59" s="119">
        <f t="shared" si="0"/>
        <v>72244.899999999994</v>
      </c>
      <c r="JJ59" s="2">
        <v>37235</v>
      </c>
      <c r="JK59" s="122"/>
      <c r="JL59" s="125"/>
      <c r="JM59" s="125"/>
      <c r="JN59" s="125"/>
      <c r="JO59" s="125"/>
      <c r="JP59" s="125"/>
    </row>
    <row r="60" spans="1:276" x14ac:dyDescent="0.25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/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>
        <f t="shared" si="0"/>
        <v>0</v>
      </c>
      <c r="JJ60" s="2"/>
      <c r="JK60" s="122"/>
      <c r="JL60" s="125"/>
      <c r="JM60" s="125"/>
      <c r="JN60" s="125"/>
      <c r="JO60" s="125"/>
      <c r="JP60" s="125"/>
    </row>
    <row r="61" spans="1:276" x14ac:dyDescent="0.25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/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>
        <f t="shared" si="0"/>
        <v>0</v>
      </c>
      <c r="JJ61" s="2"/>
      <c r="JK61" s="122"/>
      <c r="JL61" s="125"/>
      <c r="JM61" s="125"/>
      <c r="JN61" s="125"/>
      <c r="JO61" s="125"/>
      <c r="JP61" s="125"/>
    </row>
    <row r="62" spans="1:276" x14ac:dyDescent="0.25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/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>
        <f t="shared" si="0"/>
        <v>0</v>
      </c>
      <c r="JJ62" s="2"/>
      <c r="JK62" s="122"/>
      <c r="JL62" s="125"/>
      <c r="JM62" s="125"/>
      <c r="JN62" s="125"/>
      <c r="JO62" s="125"/>
      <c r="JP62" s="125"/>
    </row>
    <row r="63" spans="1:276" x14ac:dyDescent="0.25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>
        <f t="shared" si="0"/>
        <v>0</v>
      </c>
      <c r="JJ63" s="2"/>
      <c r="JK63" s="122"/>
      <c r="JL63" s="125"/>
      <c r="JM63" s="125"/>
      <c r="JN63" s="125"/>
      <c r="JO63" s="125"/>
      <c r="JP63" s="125"/>
    </row>
    <row r="64" spans="1:276" x14ac:dyDescent="0.25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>
        <f t="shared" si="0"/>
        <v>0</v>
      </c>
      <c r="JJ64" s="2"/>
      <c r="JK64" s="122"/>
      <c r="JL64" s="125"/>
      <c r="JM64" s="125"/>
      <c r="JN64" s="125"/>
      <c r="JO64" s="125"/>
      <c r="JP64" s="125"/>
    </row>
    <row r="65" spans="1:276" x14ac:dyDescent="0.2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>
        <f t="shared" si="0"/>
        <v>0</v>
      </c>
      <c r="JJ65" s="2"/>
      <c r="JK65" s="122"/>
      <c r="JL65" s="125"/>
      <c r="JM65" s="125"/>
      <c r="JN65" s="125"/>
      <c r="JO65" s="125"/>
      <c r="JP65" s="125"/>
    </row>
    <row r="66" spans="1:276" x14ac:dyDescent="0.25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>
        <f t="shared" si="0"/>
        <v>0</v>
      </c>
      <c r="JJ66" s="2"/>
      <c r="JK66" s="122"/>
      <c r="JL66" s="125"/>
      <c r="JM66" s="125"/>
      <c r="JN66" s="125"/>
      <c r="JO66" s="125"/>
      <c r="JP66" s="125"/>
    </row>
    <row r="67" spans="1:276" x14ac:dyDescent="0.25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>
        <f t="shared" si="0"/>
        <v>0</v>
      </c>
      <c r="JJ67" s="2"/>
      <c r="JK67" s="122"/>
      <c r="JL67" s="125"/>
      <c r="JM67" s="125"/>
      <c r="JN67" s="125"/>
      <c r="JO67" s="125"/>
      <c r="JP67" s="125"/>
    </row>
    <row r="68" spans="1:276" x14ac:dyDescent="0.25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354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/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>
        <f t="shared" si="0"/>
        <v>0</v>
      </c>
      <c r="JJ68" s="2"/>
      <c r="JK68" s="122"/>
      <c r="JL68" s="125"/>
      <c r="JM68" s="125"/>
      <c r="JN68" s="125"/>
      <c r="JO68" s="125"/>
      <c r="JP68" s="125"/>
    </row>
    <row r="69" spans="1:276" x14ac:dyDescent="0.25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>
        <f t="shared" si="0"/>
        <v>0</v>
      </c>
      <c r="JJ69" s="2"/>
      <c r="JK69" s="122"/>
      <c r="JL69" s="125"/>
      <c r="JM69" s="125"/>
      <c r="JN69" s="125"/>
      <c r="JO69" s="125"/>
      <c r="JP69" s="125"/>
    </row>
    <row r="70" spans="1:276" x14ac:dyDescent="0.25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>
        <f t="shared" si="0"/>
        <v>0</v>
      </c>
      <c r="JJ70" s="2"/>
      <c r="JK70" s="122"/>
      <c r="JL70" s="125"/>
      <c r="JM70" s="125"/>
      <c r="JN70" s="125"/>
      <c r="JO70" s="125"/>
      <c r="JP70" s="125"/>
    </row>
    <row r="71" spans="1:276" x14ac:dyDescent="0.25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  <c r="GJ71" s="122"/>
      <c r="GK71" s="122"/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>
        <f t="shared" si="0"/>
        <v>0</v>
      </c>
      <c r="JJ71" s="2"/>
      <c r="JK71" s="122"/>
      <c r="JL71" s="125"/>
      <c r="JM71" s="125"/>
      <c r="JN71" s="125"/>
      <c r="JO71" s="125"/>
      <c r="JP71" s="125"/>
    </row>
    <row r="72" spans="1:276" x14ac:dyDescent="0.25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/>
      <c r="FP72" s="122"/>
      <c r="FQ72" s="122"/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/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19">
        <f t="shared" si="0"/>
        <v>0</v>
      </c>
      <c r="JJ72" s="2"/>
      <c r="JK72" s="122"/>
      <c r="JL72" s="125"/>
      <c r="JM72" s="125"/>
      <c r="JN72" s="125"/>
      <c r="JO72" s="125"/>
      <c r="JP72" s="125"/>
    </row>
    <row r="73" spans="1:276" x14ac:dyDescent="0.25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/>
      <c r="FK73" s="122"/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  <c r="GJ73" s="122"/>
      <c r="GK73" s="122"/>
      <c r="GL73" s="122"/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19">
        <f t="shared" si="0"/>
        <v>0</v>
      </c>
      <c r="JJ73" s="2"/>
      <c r="JK73" s="122"/>
      <c r="JL73" s="125"/>
      <c r="JM73" s="125"/>
      <c r="JN73" s="125"/>
      <c r="JO73" s="125"/>
      <c r="JP73" s="125"/>
    </row>
    <row r="74" spans="1:276" x14ac:dyDescent="0.25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/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  <c r="GJ74" s="122"/>
      <c r="GK74" s="122"/>
      <c r="GL74" s="122"/>
      <c r="GM74" s="122"/>
      <c r="GN74" s="122"/>
      <c r="GO74" s="122"/>
      <c r="GP74" s="122"/>
      <c r="GQ74" s="122"/>
      <c r="GR74" s="122"/>
      <c r="GS74" s="122"/>
      <c r="GT74" s="122"/>
      <c r="GU74" s="122"/>
      <c r="GV74" s="122"/>
      <c r="GW74" s="122"/>
      <c r="GX74" s="122"/>
      <c r="GY74" s="122"/>
      <c r="GZ74" s="122"/>
      <c r="HA74" s="122"/>
      <c r="HB74" s="122"/>
      <c r="HC74" s="122"/>
      <c r="HD74" s="122"/>
      <c r="HE74" s="122"/>
      <c r="HF74" s="122"/>
      <c r="HG74" s="122"/>
      <c r="HH74" s="122"/>
      <c r="HI74" s="122"/>
      <c r="HJ74" s="122"/>
      <c r="HK74" s="122"/>
      <c r="HL74" s="122"/>
      <c r="HM74" s="122"/>
      <c r="HN74" s="122"/>
      <c r="HO74" s="122"/>
      <c r="HP74" s="122"/>
      <c r="HQ74" s="122"/>
      <c r="HR74" s="122"/>
      <c r="HS74" s="122"/>
      <c r="HT74" s="122"/>
      <c r="HU74" s="122"/>
      <c r="HV74" s="122"/>
      <c r="HW74" s="122"/>
      <c r="HX74" s="122"/>
      <c r="HY74" s="122"/>
      <c r="HZ74" s="122"/>
      <c r="IA74" s="122"/>
      <c r="IB74" s="122"/>
      <c r="IC74" s="122"/>
      <c r="ID74" s="122"/>
      <c r="IE74" s="122"/>
      <c r="IF74" s="122"/>
      <c r="IG74" s="122"/>
      <c r="IH74" s="122"/>
      <c r="II74" s="122"/>
      <c r="IJ74" s="122"/>
      <c r="IK74" s="122"/>
      <c r="IL74" s="122"/>
      <c r="IM74" s="122"/>
      <c r="IN74" s="122"/>
      <c r="IO74" s="122"/>
      <c r="IP74" s="122"/>
      <c r="IQ74" s="122"/>
      <c r="IR74" s="122"/>
      <c r="IS74" s="122"/>
      <c r="IT74" s="122"/>
      <c r="IU74" s="122"/>
      <c r="IV74" s="122"/>
      <c r="IW74" s="122"/>
      <c r="IX74" s="122"/>
      <c r="IY74" s="122"/>
      <c r="IZ74" s="122"/>
      <c r="JA74" s="122"/>
      <c r="JB74" s="122"/>
      <c r="JC74" s="122"/>
      <c r="JD74" s="122"/>
      <c r="JE74" s="122"/>
      <c r="JF74" s="122"/>
      <c r="JG74" s="122"/>
      <c r="JH74" s="122"/>
      <c r="JI74" s="119">
        <f t="shared" si="0"/>
        <v>0</v>
      </c>
      <c r="JJ74" s="2"/>
      <c r="JK74" s="122"/>
      <c r="JL74" s="125"/>
      <c r="JM74" s="125"/>
      <c r="JN74" s="125"/>
      <c r="JO74" s="125"/>
      <c r="JP74" s="125"/>
    </row>
    <row r="75" spans="1:276" x14ac:dyDescent="0.2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/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/>
      <c r="GI75" s="122"/>
      <c r="GJ75" s="122"/>
      <c r="GK75" s="122"/>
      <c r="GL75" s="122"/>
      <c r="GM75" s="122"/>
      <c r="GN75" s="122"/>
      <c r="GO75" s="122"/>
      <c r="GP75" s="122"/>
      <c r="GQ75" s="122"/>
      <c r="GR75" s="122"/>
      <c r="GS75" s="122"/>
      <c r="GT75" s="122"/>
      <c r="GU75" s="122"/>
      <c r="GV75" s="122"/>
      <c r="GW75" s="122"/>
      <c r="GX75" s="122"/>
      <c r="GY75" s="122"/>
      <c r="GZ75" s="122"/>
      <c r="HA75" s="122"/>
      <c r="HB75" s="122"/>
      <c r="HC75" s="122"/>
      <c r="HD75" s="122"/>
      <c r="HE75" s="122"/>
      <c r="HF75" s="122"/>
      <c r="HG75" s="122"/>
      <c r="HH75" s="122"/>
      <c r="HI75" s="122"/>
      <c r="HJ75" s="122"/>
      <c r="HK75" s="122"/>
      <c r="HL75" s="122"/>
      <c r="HM75" s="122"/>
      <c r="HN75" s="122"/>
      <c r="HO75" s="122"/>
      <c r="HP75" s="122"/>
      <c r="HQ75" s="122"/>
      <c r="HR75" s="122"/>
      <c r="HS75" s="122"/>
      <c r="HT75" s="122"/>
      <c r="HU75" s="122"/>
      <c r="HV75" s="122"/>
      <c r="HW75" s="122"/>
      <c r="HX75" s="122"/>
      <c r="HY75" s="122"/>
      <c r="HZ75" s="122"/>
      <c r="IA75" s="122"/>
      <c r="IB75" s="122"/>
      <c r="IC75" s="122"/>
      <c r="ID75" s="122"/>
      <c r="IE75" s="122"/>
      <c r="IF75" s="122"/>
      <c r="IG75" s="122"/>
      <c r="IH75" s="122"/>
      <c r="II75" s="122"/>
      <c r="IJ75" s="122"/>
      <c r="IK75" s="122"/>
      <c r="IL75" s="122"/>
      <c r="IM75" s="122"/>
      <c r="IN75" s="122"/>
      <c r="IO75" s="122"/>
      <c r="IP75" s="122"/>
      <c r="IQ75" s="122"/>
      <c r="IR75" s="122"/>
      <c r="IS75" s="122"/>
      <c r="IT75" s="122"/>
      <c r="IU75" s="122"/>
      <c r="IV75" s="122"/>
      <c r="IW75" s="122"/>
      <c r="IX75" s="122"/>
      <c r="IY75" s="122"/>
      <c r="IZ75" s="122"/>
      <c r="JA75" s="122"/>
      <c r="JB75" s="122"/>
      <c r="JC75" s="122"/>
      <c r="JD75" s="122"/>
      <c r="JE75" s="122"/>
      <c r="JF75" s="122"/>
      <c r="JG75" s="122"/>
      <c r="JH75" s="122"/>
      <c r="JI75" s="119">
        <f t="shared" si="0"/>
        <v>0</v>
      </c>
      <c r="JJ75" s="2"/>
      <c r="JK75" s="122"/>
      <c r="JL75" s="125"/>
      <c r="JM75" s="125"/>
      <c r="JN75" s="125"/>
      <c r="JO75" s="125"/>
      <c r="JP75" s="125"/>
    </row>
    <row r="76" spans="1:276" x14ac:dyDescent="0.25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/>
      <c r="FK76" s="122"/>
      <c r="FL76" s="122"/>
      <c r="FM76" s="122"/>
      <c r="FN76" s="122"/>
      <c r="FO76" s="122"/>
      <c r="FP76" s="122"/>
      <c r="FQ76" s="122"/>
      <c r="FR76" s="122"/>
      <c r="FS76" s="122"/>
      <c r="FT76" s="122"/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  <c r="GJ76" s="122"/>
      <c r="GK76" s="122"/>
      <c r="GL76" s="122"/>
      <c r="GM76" s="122"/>
      <c r="GN76" s="122"/>
      <c r="GO76" s="122"/>
      <c r="GP76" s="122"/>
      <c r="GQ76" s="122"/>
      <c r="GR76" s="122"/>
      <c r="GS76" s="122"/>
      <c r="GT76" s="122"/>
      <c r="GU76" s="122"/>
      <c r="GV76" s="122"/>
      <c r="GW76" s="122"/>
      <c r="GX76" s="122"/>
      <c r="GY76" s="122"/>
      <c r="GZ76" s="122"/>
      <c r="HA76" s="122"/>
      <c r="HB76" s="122"/>
      <c r="HC76" s="122"/>
      <c r="HD76" s="122"/>
      <c r="HE76" s="122"/>
      <c r="HF76" s="122"/>
      <c r="HG76" s="122"/>
      <c r="HH76" s="122"/>
      <c r="HI76" s="122"/>
      <c r="HJ76" s="122"/>
      <c r="HK76" s="122"/>
      <c r="HL76" s="122"/>
      <c r="HM76" s="122"/>
      <c r="HN76" s="122"/>
      <c r="HO76" s="122"/>
      <c r="HP76" s="122"/>
      <c r="HQ76" s="122"/>
      <c r="HR76" s="122"/>
      <c r="HS76" s="122"/>
      <c r="HT76" s="122"/>
      <c r="HU76" s="122"/>
      <c r="HV76" s="122"/>
      <c r="HW76" s="122"/>
      <c r="HX76" s="122"/>
      <c r="HY76" s="122"/>
      <c r="HZ76" s="122"/>
      <c r="IA76" s="122"/>
      <c r="IB76" s="122"/>
      <c r="IC76" s="122"/>
      <c r="ID76" s="122"/>
      <c r="IE76" s="122"/>
      <c r="IF76" s="122"/>
      <c r="IG76" s="122"/>
      <c r="IH76" s="122"/>
      <c r="II76" s="122"/>
      <c r="IJ76" s="122"/>
      <c r="IK76" s="122"/>
      <c r="IL76" s="122"/>
      <c r="IM76" s="122"/>
      <c r="IN76" s="122"/>
      <c r="IO76" s="122"/>
      <c r="IP76" s="122"/>
      <c r="IQ76" s="122"/>
      <c r="IR76" s="122"/>
      <c r="IS76" s="122"/>
      <c r="IT76" s="122"/>
      <c r="IU76" s="122"/>
      <c r="IV76" s="122"/>
      <c r="IW76" s="122"/>
      <c r="IX76" s="122"/>
      <c r="IY76" s="122"/>
      <c r="IZ76" s="122"/>
      <c r="JA76" s="122"/>
      <c r="JB76" s="122"/>
      <c r="JC76" s="122"/>
      <c r="JD76" s="122"/>
      <c r="JE76" s="122"/>
      <c r="JF76" s="122"/>
      <c r="JG76" s="122"/>
      <c r="JH76" s="122"/>
      <c r="JI76" s="119">
        <f t="shared" si="0"/>
        <v>0</v>
      </c>
      <c r="JJ76" s="2"/>
      <c r="JK76" s="122"/>
      <c r="JL76" s="125"/>
      <c r="JM76" s="125"/>
      <c r="JN76" s="125"/>
      <c r="JO76" s="125"/>
      <c r="JP76" s="125"/>
    </row>
    <row r="77" spans="1:276" x14ac:dyDescent="0.25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  <c r="BU77" s="122"/>
      <c r="BV77" s="122"/>
      <c r="BW77" s="122"/>
      <c r="BX77" s="122"/>
      <c r="BY77" s="122"/>
      <c r="BZ77" s="122"/>
      <c r="CA77" s="122"/>
      <c r="CB77" s="122"/>
      <c r="CC77" s="122"/>
      <c r="CD77" s="122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/>
      <c r="EF77" s="122"/>
      <c r="EG77" s="122"/>
      <c r="EH77" s="122"/>
      <c r="EI77" s="122"/>
      <c r="EJ77" s="122"/>
      <c r="EK77" s="122"/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2"/>
      <c r="FE77" s="122"/>
      <c r="FF77" s="122"/>
      <c r="FG77" s="122"/>
      <c r="FH77" s="122"/>
      <c r="FI77" s="122"/>
      <c r="FJ77" s="122"/>
      <c r="FK77" s="122"/>
      <c r="FL77" s="122"/>
      <c r="FM77" s="122"/>
      <c r="FN77" s="122"/>
      <c r="FO77" s="122"/>
      <c r="FP77" s="122"/>
      <c r="FQ77" s="122"/>
      <c r="FR77" s="122"/>
      <c r="FS77" s="122"/>
      <c r="FT77" s="122"/>
      <c r="FU77" s="122"/>
      <c r="FV77" s="122"/>
      <c r="FW77" s="122"/>
      <c r="FX77" s="122"/>
      <c r="FY77" s="122"/>
      <c r="FZ77" s="122"/>
      <c r="GA77" s="122"/>
      <c r="GB77" s="122"/>
      <c r="GC77" s="122"/>
      <c r="GD77" s="122"/>
      <c r="GE77" s="122"/>
      <c r="GF77" s="122"/>
      <c r="GG77" s="122"/>
      <c r="GH77" s="122"/>
      <c r="GI77" s="122"/>
      <c r="GJ77" s="122"/>
      <c r="GK77" s="122"/>
      <c r="GL77" s="122"/>
      <c r="GM77" s="122"/>
      <c r="GN77" s="122"/>
      <c r="GO77" s="122"/>
      <c r="GP77" s="122"/>
      <c r="GQ77" s="122"/>
      <c r="GR77" s="122"/>
      <c r="GS77" s="122"/>
      <c r="GT77" s="122"/>
      <c r="GU77" s="122"/>
      <c r="GV77" s="122"/>
      <c r="GW77" s="122"/>
      <c r="GX77" s="122"/>
      <c r="GY77" s="122"/>
      <c r="GZ77" s="122"/>
      <c r="HA77" s="122"/>
      <c r="HB77" s="122"/>
      <c r="HC77" s="122"/>
      <c r="HD77" s="122"/>
      <c r="HE77" s="122"/>
      <c r="HF77" s="122"/>
      <c r="HG77" s="122"/>
      <c r="HH77" s="122"/>
      <c r="HI77" s="122"/>
      <c r="HJ77" s="122"/>
      <c r="HK77" s="122"/>
      <c r="HL77" s="122"/>
      <c r="HM77" s="122"/>
      <c r="HN77" s="122"/>
      <c r="HO77" s="122"/>
      <c r="HP77" s="122"/>
      <c r="HQ77" s="122"/>
      <c r="HR77" s="122"/>
      <c r="HS77" s="122"/>
      <c r="HT77" s="122"/>
      <c r="HU77" s="122"/>
      <c r="HV77" s="122"/>
      <c r="HW77" s="122"/>
      <c r="HX77" s="122"/>
      <c r="HY77" s="122"/>
      <c r="HZ77" s="122"/>
      <c r="IA77" s="122"/>
      <c r="IB77" s="122"/>
      <c r="IC77" s="122"/>
      <c r="ID77" s="122"/>
      <c r="IE77" s="122"/>
      <c r="IF77" s="122"/>
      <c r="IG77" s="122"/>
      <c r="IH77" s="122"/>
      <c r="II77" s="122"/>
      <c r="IJ77" s="122"/>
      <c r="IK77" s="122"/>
      <c r="IL77" s="122"/>
      <c r="IM77" s="122"/>
      <c r="IN77" s="122"/>
      <c r="IO77" s="122"/>
      <c r="IP77" s="122"/>
      <c r="IQ77" s="122"/>
      <c r="IR77" s="122"/>
      <c r="IS77" s="122"/>
      <c r="IT77" s="122"/>
      <c r="IU77" s="122"/>
      <c r="IV77" s="122"/>
      <c r="IW77" s="122"/>
      <c r="IX77" s="122"/>
      <c r="IY77" s="122"/>
      <c r="IZ77" s="122"/>
      <c r="JA77" s="122"/>
      <c r="JB77" s="122"/>
      <c r="JC77" s="122"/>
      <c r="JD77" s="122"/>
      <c r="JE77" s="122"/>
      <c r="JF77" s="122"/>
      <c r="JG77" s="122"/>
      <c r="JH77" s="122"/>
      <c r="JI77" s="119">
        <f t="shared" si="0"/>
        <v>0</v>
      </c>
      <c r="JJ77" s="2"/>
      <c r="JK77" s="122"/>
      <c r="JL77" s="125"/>
      <c r="JM77" s="125"/>
      <c r="JN77" s="125"/>
      <c r="JO77" s="125"/>
      <c r="JP77" s="125"/>
    </row>
    <row r="78" spans="1:276" x14ac:dyDescent="0.25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  <c r="BS78" s="122"/>
      <c r="BT78" s="122"/>
      <c r="BU78" s="122"/>
      <c r="BV78" s="122"/>
      <c r="BW78" s="122"/>
      <c r="BX78" s="122"/>
      <c r="BY78" s="122"/>
      <c r="BZ78" s="122"/>
      <c r="CA78" s="122"/>
      <c r="CB78" s="122"/>
      <c r="CC78" s="122"/>
      <c r="CD78" s="122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/>
      <c r="FF78" s="122"/>
      <c r="FG78" s="122"/>
      <c r="FH78" s="122"/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/>
      <c r="FU78" s="122"/>
      <c r="FV78" s="122"/>
      <c r="FW78" s="122"/>
      <c r="FX78" s="122"/>
      <c r="FY78" s="122"/>
      <c r="FZ78" s="122"/>
      <c r="GA78" s="122"/>
      <c r="GB78" s="122"/>
      <c r="GC78" s="122"/>
      <c r="GD78" s="122"/>
      <c r="GE78" s="122"/>
      <c r="GF78" s="122"/>
      <c r="GG78" s="122"/>
      <c r="GH78" s="122"/>
      <c r="GI78" s="122"/>
      <c r="GJ78" s="122"/>
      <c r="GK78" s="122"/>
      <c r="GL78" s="122"/>
      <c r="GM78" s="122"/>
      <c r="GN78" s="122"/>
      <c r="GO78" s="122"/>
      <c r="GP78" s="122"/>
      <c r="GQ78" s="122"/>
      <c r="GR78" s="122"/>
      <c r="GS78" s="122"/>
      <c r="GT78" s="122"/>
      <c r="GU78" s="122"/>
      <c r="GV78" s="122"/>
      <c r="GW78" s="122"/>
      <c r="GX78" s="122"/>
      <c r="GY78" s="122"/>
      <c r="GZ78" s="122"/>
      <c r="HA78" s="122"/>
      <c r="HB78" s="122"/>
      <c r="HC78" s="122"/>
      <c r="HD78" s="122"/>
      <c r="HE78" s="122"/>
      <c r="HF78" s="122"/>
      <c r="HG78" s="122"/>
      <c r="HH78" s="122"/>
      <c r="HI78" s="122"/>
      <c r="HJ78" s="122"/>
      <c r="HK78" s="122"/>
      <c r="HL78" s="122"/>
      <c r="HM78" s="122"/>
      <c r="HN78" s="122"/>
      <c r="HO78" s="122"/>
      <c r="HP78" s="122"/>
      <c r="HQ78" s="122"/>
      <c r="HR78" s="122"/>
      <c r="HS78" s="122"/>
      <c r="HT78" s="122"/>
      <c r="HU78" s="122"/>
      <c r="HV78" s="122"/>
      <c r="HW78" s="122"/>
      <c r="HX78" s="122"/>
      <c r="HY78" s="122"/>
      <c r="HZ78" s="122"/>
      <c r="IA78" s="122"/>
      <c r="IB78" s="122"/>
      <c r="IC78" s="122"/>
      <c r="ID78" s="122"/>
      <c r="IE78" s="122"/>
      <c r="IF78" s="122"/>
      <c r="IG78" s="122"/>
      <c r="IH78" s="122"/>
      <c r="II78" s="122"/>
      <c r="IJ78" s="122"/>
      <c r="IK78" s="122"/>
      <c r="IL78" s="122"/>
      <c r="IM78" s="122"/>
      <c r="IN78" s="122"/>
      <c r="IO78" s="122"/>
      <c r="IP78" s="122"/>
      <c r="IQ78" s="122"/>
      <c r="IR78" s="122"/>
      <c r="IS78" s="122"/>
      <c r="IT78" s="122"/>
      <c r="IU78" s="122"/>
      <c r="IV78" s="122"/>
      <c r="IW78" s="122"/>
      <c r="IX78" s="122"/>
      <c r="IY78" s="122"/>
      <c r="IZ78" s="122"/>
      <c r="JA78" s="122"/>
      <c r="JB78" s="122"/>
      <c r="JC78" s="122"/>
      <c r="JD78" s="122"/>
      <c r="JE78" s="122"/>
      <c r="JF78" s="122"/>
      <c r="JG78" s="122"/>
      <c r="JH78" s="122"/>
      <c r="JI78" s="119">
        <f t="shared" si="0"/>
        <v>0</v>
      </c>
      <c r="JJ78" s="2"/>
      <c r="JK78" s="122"/>
      <c r="JL78" s="125"/>
      <c r="JM78" s="125"/>
      <c r="JN78" s="125"/>
      <c r="JO78" s="125"/>
      <c r="JP78" s="125"/>
    </row>
    <row r="79" spans="1:276" x14ac:dyDescent="0.25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122"/>
      <c r="BS79" s="122"/>
      <c r="BT79" s="122"/>
      <c r="BU79" s="122"/>
      <c r="BV79" s="122"/>
      <c r="BW79" s="122"/>
      <c r="BX79" s="122"/>
      <c r="BY79" s="122"/>
      <c r="BZ79" s="122"/>
      <c r="CA79" s="122"/>
      <c r="CB79" s="122"/>
      <c r="CC79" s="122"/>
      <c r="CD79" s="122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  <c r="EM79" s="122"/>
      <c r="EN79" s="122"/>
      <c r="EO79" s="122"/>
      <c r="EP79" s="122"/>
      <c r="EQ79" s="122"/>
      <c r="ER79" s="122"/>
      <c r="ES79" s="122"/>
      <c r="ET79" s="122"/>
      <c r="EU79" s="122"/>
      <c r="EV79" s="122"/>
      <c r="EW79" s="122"/>
      <c r="EX79" s="122"/>
      <c r="EY79" s="122"/>
      <c r="EZ79" s="122"/>
      <c r="FA79" s="122"/>
      <c r="FB79" s="122"/>
      <c r="FC79" s="122"/>
      <c r="FD79" s="122"/>
      <c r="FE79" s="122"/>
      <c r="FF79" s="122"/>
      <c r="FG79" s="122"/>
      <c r="FH79" s="122"/>
      <c r="FI79" s="122"/>
      <c r="FJ79" s="122"/>
      <c r="FK79" s="122"/>
      <c r="FL79" s="122"/>
      <c r="FM79" s="122"/>
      <c r="FN79" s="122"/>
      <c r="FO79" s="122"/>
      <c r="FP79" s="122"/>
      <c r="FQ79" s="122"/>
      <c r="FR79" s="122"/>
      <c r="FS79" s="122"/>
      <c r="FT79" s="122"/>
      <c r="FU79" s="122"/>
      <c r="FV79" s="122"/>
      <c r="FW79" s="122"/>
      <c r="FX79" s="122"/>
      <c r="FY79" s="122"/>
      <c r="FZ79" s="122"/>
      <c r="GA79" s="122"/>
      <c r="GB79" s="122"/>
      <c r="GC79" s="122"/>
      <c r="GD79" s="122"/>
      <c r="GE79" s="122"/>
      <c r="GF79" s="122"/>
      <c r="GG79" s="122"/>
      <c r="GH79" s="122"/>
      <c r="GI79" s="122"/>
      <c r="GJ79" s="122"/>
      <c r="GK79" s="122"/>
      <c r="GL79" s="122"/>
      <c r="GM79" s="122"/>
      <c r="GN79" s="122"/>
      <c r="GO79" s="122"/>
      <c r="GP79" s="122"/>
      <c r="GQ79" s="122"/>
      <c r="GR79" s="122"/>
      <c r="GS79" s="122"/>
      <c r="GT79" s="122"/>
      <c r="GU79" s="122"/>
      <c r="GV79" s="122"/>
      <c r="GW79" s="122"/>
      <c r="GX79" s="122"/>
      <c r="GY79" s="122"/>
      <c r="GZ79" s="122"/>
      <c r="HA79" s="122"/>
      <c r="HB79" s="122"/>
      <c r="HC79" s="122"/>
      <c r="HD79" s="122"/>
      <c r="HE79" s="122"/>
      <c r="HF79" s="122"/>
      <c r="HG79" s="122"/>
      <c r="HH79" s="122"/>
      <c r="HI79" s="122"/>
      <c r="HJ79" s="122"/>
      <c r="HK79" s="122"/>
      <c r="HL79" s="122"/>
      <c r="HM79" s="122"/>
      <c r="HN79" s="122"/>
      <c r="HO79" s="122"/>
      <c r="HP79" s="122"/>
      <c r="HQ79" s="122"/>
      <c r="HR79" s="122"/>
      <c r="HS79" s="122"/>
      <c r="HT79" s="122"/>
      <c r="HU79" s="122"/>
      <c r="HV79" s="122"/>
      <c r="HW79" s="122"/>
      <c r="HX79" s="122"/>
      <c r="HY79" s="122"/>
      <c r="HZ79" s="122"/>
      <c r="IA79" s="122"/>
      <c r="IB79" s="122"/>
      <c r="IC79" s="122"/>
      <c r="ID79" s="122"/>
      <c r="IE79" s="122"/>
      <c r="IF79" s="122"/>
      <c r="IG79" s="122"/>
      <c r="IH79" s="122"/>
      <c r="II79" s="122"/>
      <c r="IJ79" s="122"/>
      <c r="IK79" s="122"/>
      <c r="IL79" s="122"/>
      <c r="IM79" s="122"/>
      <c r="IN79" s="122"/>
      <c r="IO79" s="122"/>
      <c r="IP79" s="122"/>
      <c r="IQ79" s="122"/>
      <c r="IR79" s="122"/>
      <c r="IS79" s="122"/>
      <c r="IT79" s="122"/>
      <c r="IU79" s="122"/>
      <c r="IV79" s="122"/>
      <c r="IW79" s="122"/>
      <c r="IX79" s="122"/>
      <c r="IY79" s="122"/>
      <c r="IZ79" s="122"/>
      <c r="JA79" s="122"/>
      <c r="JB79" s="122"/>
      <c r="JC79" s="122"/>
      <c r="JD79" s="122"/>
      <c r="JE79" s="122"/>
      <c r="JF79" s="122"/>
      <c r="JG79" s="122"/>
      <c r="JH79" s="122"/>
      <c r="JI79" s="119">
        <f t="shared" si="0"/>
        <v>0</v>
      </c>
      <c r="JJ79" s="2"/>
      <c r="JK79" s="122"/>
      <c r="JL79" s="125"/>
      <c r="JM79" s="125"/>
      <c r="JN79" s="125"/>
      <c r="JO79" s="125"/>
      <c r="JP79" s="125"/>
    </row>
    <row r="80" spans="1:276" x14ac:dyDescent="0.25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  <c r="BR80" s="122"/>
      <c r="BS80" s="122"/>
      <c r="BT80" s="122"/>
      <c r="BU80" s="122"/>
      <c r="BV80" s="122"/>
      <c r="BW80" s="122"/>
      <c r="BX80" s="122"/>
      <c r="BY80" s="122"/>
      <c r="BZ80" s="122"/>
      <c r="CA80" s="122"/>
      <c r="CB80" s="122"/>
      <c r="CC80" s="122"/>
      <c r="CD80" s="122"/>
      <c r="CE80" s="122"/>
      <c r="CF80" s="122"/>
      <c r="CG80" s="122"/>
      <c r="CH80" s="122"/>
      <c r="CI80" s="122"/>
      <c r="CJ80" s="122"/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/>
      <c r="CV80" s="122"/>
      <c r="CW80" s="122"/>
      <c r="CX80" s="122"/>
      <c r="CY80" s="122"/>
      <c r="CZ80" s="122"/>
      <c r="DA80" s="122"/>
      <c r="DB80" s="122"/>
      <c r="DC80" s="122"/>
      <c r="DD80" s="122"/>
      <c r="DE80" s="122"/>
      <c r="DF80" s="122"/>
      <c r="DG80" s="122"/>
      <c r="DH80" s="122"/>
      <c r="DI80" s="122"/>
      <c r="DJ80" s="122"/>
      <c r="DK80" s="122"/>
      <c r="DL80" s="122"/>
      <c r="DM80" s="122"/>
      <c r="DN80" s="122"/>
      <c r="DO80" s="122"/>
      <c r="DP80" s="122"/>
      <c r="DQ80" s="122"/>
      <c r="DR80" s="122"/>
      <c r="DS80" s="122"/>
      <c r="DT80" s="122"/>
      <c r="DU80" s="122"/>
      <c r="DV80" s="122"/>
      <c r="DW80" s="122"/>
      <c r="DX80" s="122"/>
      <c r="DY80" s="122"/>
      <c r="DZ80" s="122"/>
      <c r="EA80" s="122"/>
      <c r="EB80" s="122"/>
      <c r="EC80" s="122"/>
      <c r="ED80" s="122"/>
      <c r="EE80" s="122"/>
      <c r="EF80" s="122"/>
      <c r="EG80" s="122"/>
      <c r="EH80" s="122"/>
      <c r="EI80" s="122"/>
      <c r="EJ80" s="122"/>
      <c r="EK80" s="122"/>
      <c r="EL80" s="122"/>
      <c r="EM80" s="122"/>
      <c r="EN80" s="122"/>
      <c r="EO80" s="122"/>
      <c r="EP80" s="122"/>
      <c r="EQ80" s="122"/>
      <c r="ER80" s="122"/>
      <c r="ES80" s="122"/>
      <c r="ET80" s="122"/>
      <c r="EU80" s="122"/>
      <c r="EV80" s="122"/>
      <c r="EW80" s="122"/>
      <c r="EX80" s="122"/>
      <c r="EY80" s="122"/>
      <c r="EZ80" s="122"/>
      <c r="FA80" s="122"/>
      <c r="FB80" s="122"/>
      <c r="FC80" s="122"/>
      <c r="FD80" s="122"/>
      <c r="FE80" s="122"/>
      <c r="FF80" s="122"/>
      <c r="FG80" s="122"/>
      <c r="FH80" s="122"/>
      <c r="FI80" s="122"/>
      <c r="FJ80" s="122"/>
      <c r="FK80" s="122"/>
      <c r="FL80" s="122"/>
      <c r="FM80" s="122"/>
      <c r="FN80" s="122"/>
      <c r="FO80" s="122"/>
      <c r="FP80" s="122"/>
      <c r="FQ80" s="122"/>
      <c r="FR80" s="122"/>
      <c r="FS80" s="122"/>
      <c r="FT80" s="122"/>
      <c r="FU80" s="122"/>
      <c r="FV80" s="122"/>
      <c r="FW80" s="122"/>
      <c r="FX80" s="122"/>
      <c r="FY80" s="122"/>
      <c r="FZ80" s="122"/>
      <c r="GA80" s="122"/>
      <c r="GB80" s="122"/>
      <c r="GC80" s="122"/>
      <c r="GD80" s="122"/>
      <c r="GE80" s="122"/>
      <c r="GF80" s="122"/>
      <c r="GG80" s="122"/>
      <c r="GH80" s="122"/>
      <c r="GI80" s="122"/>
      <c r="GJ80" s="122"/>
      <c r="GK80" s="122"/>
      <c r="GL80" s="122"/>
      <c r="GM80" s="122"/>
      <c r="GN80" s="122"/>
      <c r="GO80" s="122"/>
      <c r="GP80" s="122"/>
      <c r="GQ80" s="122"/>
      <c r="GR80" s="122"/>
      <c r="GS80" s="122"/>
      <c r="GT80" s="122"/>
      <c r="GU80" s="122"/>
      <c r="GV80" s="122"/>
      <c r="GW80" s="122"/>
      <c r="GX80" s="122"/>
      <c r="GY80" s="122"/>
      <c r="GZ80" s="122"/>
      <c r="HA80" s="122"/>
      <c r="HB80" s="122"/>
      <c r="HC80" s="122"/>
      <c r="HD80" s="122"/>
      <c r="HE80" s="122"/>
      <c r="HF80" s="122"/>
      <c r="HG80" s="122"/>
      <c r="HH80" s="122"/>
      <c r="HI80" s="122"/>
      <c r="HJ80" s="122"/>
      <c r="HK80" s="122"/>
      <c r="HL80" s="122"/>
      <c r="HM80" s="122"/>
      <c r="HN80" s="122"/>
      <c r="HO80" s="122"/>
      <c r="HP80" s="122"/>
      <c r="HQ80" s="122"/>
      <c r="HR80" s="122"/>
      <c r="HS80" s="122"/>
      <c r="HT80" s="122"/>
      <c r="HU80" s="122"/>
      <c r="HV80" s="122"/>
      <c r="HW80" s="122"/>
      <c r="HX80" s="122"/>
      <c r="HY80" s="122"/>
      <c r="HZ80" s="122"/>
      <c r="IA80" s="122"/>
      <c r="IB80" s="122"/>
      <c r="IC80" s="122"/>
      <c r="ID80" s="122"/>
      <c r="IE80" s="122"/>
      <c r="IF80" s="122"/>
      <c r="IG80" s="122"/>
      <c r="IH80" s="122"/>
      <c r="II80" s="122"/>
      <c r="IJ80" s="122"/>
      <c r="IK80" s="122"/>
      <c r="IL80" s="122"/>
      <c r="IM80" s="122"/>
      <c r="IN80" s="122"/>
      <c r="IO80" s="122"/>
      <c r="IP80" s="122"/>
      <c r="IQ80" s="122"/>
      <c r="IR80" s="122"/>
      <c r="IS80" s="122"/>
      <c r="IT80" s="122"/>
      <c r="IU80" s="122"/>
      <c r="IV80" s="122"/>
      <c r="IW80" s="122"/>
      <c r="IX80" s="122"/>
      <c r="IY80" s="122"/>
      <c r="IZ80" s="122"/>
      <c r="JA80" s="122"/>
      <c r="JB80" s="122"/>
      <c r="JC80" s="122"/>
      <c r="JD80" s="122"/>
      <c r="JE80" s="122"/>
      <c r="JF80" s="122"/>
      <c r="JG80" s="122"/>
      <c r="JH80" s="122"/>
      <c r="JI80" s="119">
        <f t="shared" si="0"/>
        <v>0</v>
      </c>
      <c r="JJ80" s="2"/>
      <c r="JK80" s="122"/>
      <c r="JL80" s="125"/>
      <c r="JM80" s="125"/>
      <c r="JN80" s="125"/>
      <c r="JO80" s="125"/>
      <c r="JP80" s="125"/>
    </row>
    <row r="81" spans="1:276" x14ac:dyDescent="0.25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  <c r="BR81" s="122"/>
      <c r="BS81" s="122"/>
      <c r="BT81" s="122"/>
      <c r="BU81" s="122"/>
      <c r="BV81" s="122"/>
      <c r="BW81" s="122"/>
      <c r="BX81" s="122"/>
      <c r="BY81" s="122"/>
      <c r="BZ81" s="122"/>
      <c r="CA81" s="122"/>
      <c r="CB81" s="122"/>
      <c r="CC81" s="122"/>
      <c r="CD81" s="122"/>
      <c r="CE81" s="122"/>
      <c r="CF81" s="122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/>
      <c r="DW81" s="122"/>
      <c r="DX81" s="122"/>
      <c r="DY81" s="122"/>
      <c r="DZ81" s="122"/>
      <c r="EA81" s="122"/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  <c r="EM81" s="122"/>
      <c r="EN81" s="122"/>
      <c r="EO81" s="122"/>
      <c r="EP81" s="122"/>
      <c r="EQ81" s="122"/>
      <c r="ER81" s="122"/>
      <c r="ES81" s="122"/>
      <c r="ET81" s="122"/>
      <c r="EU81" s="122"/>
      <c r="EV81" s="122"/>
      <c r="EW81" s="122"/>
      <c r="EX81" s="122"/>
      <c r="EY81" s="122"/>
      <c r="EZ81" s="122"/>
      <c r="FA81" s="122"/>
      <c r="FB81" s="122"/>
      <c r="FC81" s="122"/>
      <c r="FD81" s="122"/>
      <c r="FE81" s="122"/>
      <c r="FF81" s="122"/>
      <c r="FG81" s="122"/>
      <c r="FH81" s="122"/>
      <c r="FI81" s="122"/>
      <c r="FJ81" s="122"/>
      <c r="FK81" s="122"/>
      <c r="FL81" s="122"/>
      <c r="FM81" s="122"/>
      <c r="FN81" s="122"/>
      <c r="FO81" s="122"/>
      <c r="FP81" s="122"/>
      <c r="FQ81" s="122"/>
      <c r="FR81" s="122"/>
      <c r="FS81" s="122"/>
      <c r="FT81" s="122"/>
      <c r="FU81" s="122"/>
      <c r="FV81" s="122"/>
      <c r="FW81" s="122"/>
      <c r="FX81" s="122"/>
      <c r="FY81" s="122"/>
      <c r="FZ81" s="122"/>
      <c r="GA81" s="122"/>
      <c r="GB81" s="122"/>
      <c r="GC81" s="122"/>
      <c r="GD81" s="122"/>
      <c r="GE81" s="122"/>
      <c r="GF81" s="122"/>
      <c r="GG81" s="122"/>
      <c r="GH81" s="122"/>
      <c r="GI81" s="122"/>
      <c r="GJ81" s="122"/>
      <c r="GK81" s="122"/>
      <c r="GL81" s="122"/>
      <c r="GM81" s="122"/>
      <c r="GN81" s="122"/>
      <c r="GO81" s="122"/>
      <c r="GP81" s="122"/>
      <c r="GQ81" s="122"/>
      <c r="GR81" s="122"/>
      <c r="GS81" s="122"/>
      <c r="GT81" s="122"/>
      <c r="GU81" s="122"/>
      <c r="GV81" s="122"/>
      <c r="GW81" s="122"/>
      <c r="GX81" s="122"/>
      <c r="GY81" s="122"/>
      <c r="GZ81" s="122"/>
      <c r="HA81" s="122"/>
      <c r="HB81" s="122"/>
      <c r="HC81" s="122"/>
      <c r="HD81" s="122"/>
      <c r="HE81" s="122"/>
      <c r="HF81" s="122"/>
      <c r="HG81" s="122"/>
      <c r="HH81" s="122"/>
      <c r="HI81" s="122"/>
      <c r="HJ81" s="122"/>
      <c r="HK81" s="122"/>
      <c r="HL81" s="122"/>
      <c r="HM81" s="122"/>
      <c r="HN81" s="122"/>
      <c r="HO81" s="122"/>
      <c r="HP81" s="122"/>
      <c r="HQ81" s="122"/>
      <c r="HR81" s="122"/>
      <c r="HS81" s="122"/>
      <c r="HT81" s="122"/>
      <c r="HU81" s="122"/>
      <c r="HV81" s="122"/>
      <c r="HW81" s="122"/>
      <c r="HX81" s="122"/>
      <c r="HY81" s="122"/>
      <c r="HZ81" s="122"/>
      <c r="IA81" s="122"/>
      <c r="IB81" s="122"/>
      <c r="IC81" s="122"/>
      <c r="ID81" s="122"/>
      <c r="IE81" s="122"/>
      <c r="IF81" s="122"/>
      <c r="IG81" s="122"/>
      <c r="IH81" s="122"/>
      <c r="II81" s="122"/>
      <c r="IJ81" s="122"/>
      <c r="IK81" s="122"/>
      <c r="IL81" s="122"/>
      <c r="IM81" s="122"/>
      <c r="IN81" s="122"/>
      <c r="IO81" s="122"/>
      <c r="IP81" s="122"/>
      <c r="IQ81" s="122"/>
      <c r="IR81" s="122"/>
      <c r="IS81" s="122"/>
      <c r="IT81" s="122"/>
      <c r="IU81" s="122"/>
      <c r="IV81" s="122"/>
      <c r="IW81" s="122"/>
      <c r="IX81" s="122"/>
      <c r="IY81" s="122"/>
      <c r="IZ81" s="122"/>
      <c r="JA81" s="122"/>
      <c r="JB81" s="122"/>
      <c r="JC81" s="122"/>
      <c r="JD81" s="122"/>
      <c r="JE81" s="122"/>
      <c r="JF81" s="122"/>
      <c r="JG81" s="122"/>
      <c r="JH81" s="122"/>
      <c r="JI81" s="119">
        <f t="shared" si="0"/>
        <v>0</v>
      </c>
      <c r="JJ81" s="2"/>
      <c r="JK81" s="122"/>
      <c r="JL81" s="125"/>
      <c r="JM81" s="125"/>
      <c r="JN81" s="125"/>
      <c r="JO81" s="125"/>
      <c r="JP81" s="125"/>
    </row>
    <row r="82" spans="1:276" x14ac:dyDescent="0.25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/>
      <c r="BT82" s="122"/>
      <c r="BU82" s="122"/>
      <c r="BV82" s="122"/>
      <c r="BW82" s="122"/>
      <c r="BX82" s="122"/>
      <c r="BY82" s="122"/>
      <c r="BZ82" s="122"/>
      <c r="CA82" s="122"/>
      <c r="CB82" s="122"/>
      <c r="CC82" s="122"/>
      <c r="CD82" s="122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/>
      <c r="FG82" s="122"/>
      <c r="FH82" s="122"/>
      <c r="FI82" s="122"/>
      <c r="FJ82" s="122"/>
      <c r="FK82" s="122"/>
      <c r="FL82" s="122"/>
      <c r="FM82" s="122"/>
      <c r="FN82" s="122"/>
      <c r="FO82" s="122"/>
      <c r="FP82" s="122"/>
      <c r="FQ82" s="122"/>
      <c r="FR82" s="122"/>
      <c r="FS82" s="122"/>
      <c r="FT82" s="122"/>
      <c r="FU82" s="122"/>
      <c r="FV82" s="122"/>
      <c r="FW82" s="122"/>
      <c r="FX82" s="122"/>
      <c r="FY82" s="122"/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  <c r="GJ82" s="122"/>
      <c r="GK82" s="122"/>
      <c r="GL82" s="122"/>
      <c r="GM82" s="122"/>
      <c r="GN82" s="122"/>
      <c r="GO82" s="122"/>
      <c r="GP82" s="122"/>
      <c r="GQ82" s="122"/>
      <c r="GR82" s="122"/>
      <c r="GS82" s="122"/>
      <c r="GT82" s="122"/>
      <c r="GU82" s="122"/>
      <c r="GV82" s="122"/>
      <c r="GW82" s="122"/>
      <c r="GX82" s="122"/>
      <c r="GY82" s="122"/>
      <c r="GZ82" s="122"/>
      <c r="HA82" s="122"/>
      <c r="HB82" s="122"/>
      <c r="HC82" s="122"/>
      <c r="HD82" s="122"/>
      <c r="HE82" s="122"/>
      <c r="HF82" s="122"/>
      <c r="HG82" s="122"/>
      <c r="HH82" s="122"/>
      <c r="HI82" s="122"/>
      <c r="HJ82" s="122"/>
      <c r="HK82" s="122"/>
      <c r="HL82" s="122"/>
      <c r="HM82" s="122"/>
      <c r="HN82" s="122"/>
      <c r="HO82" s="122"/>
      <c r="HP82" s="122"/>
      <c r="HQ82" s="122"/>
      <c r="HR82" s="122"/>
      <c r="HS82" s="122"/>
      <c r="HT82" s="122"/>
      <c r="HU82" s="122"/>
      <c r="HV82" s="122"/>
      <c r="HW82" s="122"/>
      <c r="HX82" s="122"/>
      <c r="HY82" s="122"/>
      <c r="HZ82" s="122"/>
      <c r="IA82" s="122"/>
      <c r="IB82" s="122"/>
      <c r="IC82" s="122"/>
      <c r="ID82" s="122"/>
      <c r="IE82" s="122"/>
      <c r="IF82" s="122"/>
      <c r="IG82" s="122"/>
      <c r="IH82" s="122"/>
      <c r="II82" s="122"/>
      <c r="IJ82" s="122"/>
      <c r="IK82" s="122"/>
      <c r="IL82" s="122"/>
      <c r="IM82" s="122"/>
      <c r="IN82" s="122"/>
      <c r="IO82" s="122"/>
      <c r="IP82" s="122"/>
      <c r="IQ82" s="122"/>
      <c r="IR82" s="122"/>
      <c r="IS82" s="122"/>
      <c r="IT82" s="122"/>
      <c r="IU82" s="122"/>
      <c r="IV82" s="122"/>
      <c r="IW82" s="122"/>
      <c r="IX82" s="122"/>
      <c r="IY82" s="122"/>
      <c r="IZ82" s="122"/>
      <c r="JA82" s="122"/>
      <c r="JB82" s="122"/>
      <c r="JC82" s="122"/>
      <c r="JD82" s="122"/>
      <c r="JE82" s="122"/>
      <c r="JF82" s="122"/>
      <c r="JG82" s="122"/>
      <c r="JH82" s="122"/>
      <c r="JI82" s="119">
        <f t="shared" si="0"/>
        <v>0</v>
      </c>
      <c r="JJ82" s="2"/>
      <c r="JK82" s="122"/>
      <c r="JL82" s="125"/>
      <c r="JM82" s="125"/>
      <c r="JN82" s="125"/>
      <c r="JO82" s="125"/>
      <c r="JP82" s="125"/>
    </row>
    <row r="83" spans="1:276" x14ac:dyDescent="0.25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/>
      <c r="FN83" s="122"/>
      <c r="FO83" s="122"/>
      <c r="FP83" s="122"/>
      <c r="FQ83" s="122"/>
      <c r="FR83" s="122"/>
      <c r="FS83" s="122"/>
      <c r="FT83" s="122"/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  <c r="GJ83" s="122"/>
      <c r="GK83" s="122"/>
      <c r="GL83" s="122"/>
      <c r="GM83" s="122"/>
      <c r="GN83" s="122"/>
      <c r="GO83" s="122"/>
      <c r="GP83" s="122"/>
      <c r="GQ83" s="122"/>
      <c r="GR83" s="122"/>
      <c r="GS83" s="122"/>
      <c r="GT83" s="122"/>
      <c r="GU83" s="122"/>
      <c r="GV83" s="122"/>
      <c r="GW83" s="122"/>
      <c r="GX83" s="122"/>
      <c r="GY83" s="122"/>
      <c r="GZ83" s="122"/>
      <c r="HA83" s="122"/>
      <c r="HB83" s="122"/>
      <c r="HC83" s="122"/>
      <c r="HD83" s="122"/>
      <c r="HE83" s="122"/>
      <c r="HF83" s="122"/>
      <c r="HG83" s="122"/>
      <c r="HH83" s="122"/>
      <c r="HI83" s="122"/>
      <c r="HJ83" s="122"/>
      <c r="HK83" s="122"/>
      <c r="HL83" s="122"/>
      <c r="HM83" s="122"/>
      <c r="HN83" s="122"/>
      <c r="HO83" s="122"/>
      <c r="HP83" s="122"/>
      <c r="HQ83" s="122"/>
      <c r="HR83" s="122"/>
      <c r="HS83" s="122"/>
      <c r="HT83" s="122"/>
      <c r="HU83" s="122"/>
      <c r="HV83" s="122"/>
      <c r="HW83" s="122"/>
      <c r="HX83" s="122"/>
      <c r="HY83" s="122"/>
      <c r="HZ83" s="122"/>
      <c r="IA83" s="122"/>
      <c r="IB83" s="122"/>
      <c r="IC83" s="122"/>
      <c r="ID83" s="122"/>
      <c r="IE83" s="122"/>
      <c r="IF83" s="122"/>
      <c r="IG83" s="122"/>
      <c r="IH83" s="122"/>
      <c r="II83" s="122"/>
      <c r="IJ83" s="122"/>
      <c r="IK83" s="122"/>
      <c r="IL83" s="122"/>
      <c r="IM83" s="122"/>
      <c r="IN83" s="122"/>
      <c r="IO83" s="122"/>
      <c r="IP83" s="122"/>
      <c r="IQ83" s="122"/>
      <c r="IR83" s="122"/>
      <c r="IS83" s="122"/>
      <c r="IT83" s="122"/>
      <c r="IU83" s="122"/>
      <c r="IV83" s="122"/>
      <c r="IW83" s="122"/>
      <c r="IX83" s="122"/>
      <c r="IY83" s="122"/>
      <c r="IZ83" s="122"/>
      <c r="JA83" s="122"/>
      <c r="JB83" s="122"/>
      <c r="JC83" s="122"/>
      <c r="JD83" s="122"/>
      <c r="JE83" s="122"/>
      <c r="JF83" s="122"/>
      <c r="JG83" s="122"/>
      <c r="JH83" s="122"/>
      <c r="JI83" s="119">
        <f t="shared" si="0"/>
        <v>0</v>
      </c>
      <c r="JJ83" s="2"/>
      <c r="JK83" s="122"/>
      <c r="JL83" s="125"/>
      <c r="JM83" s="125"/>
      <c r="JN83" s="125"/>
      <c r="JO83" s="125"/>
      <c r="JP83" s="125"/>
    </row>
    <row r="84" spans="1:276" x14ac:dyDescent="0.25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B84" s="122"/>
      <c r="CC84" s="122"/>
      <c r="CD84" s="122"/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/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/>
      <c r="FU84" s="122"/>
      <c r="FV84" s="122"/>
      <c r="FW84" s="122"/>
      <c r="FX84" s="122"/>
      <c r="FY84" s="122"/>
      <c r="FZ84" s="122"/>
      <c r="GA84" s="122"/>
      <c r="GB84" s="122"/>
      <c r="GC84" s="122"/>
      <c r="GD84" s="122"/>
      <c r="GE84" s="122"/>
      <c r="GF84" s="122"/>
      <c r="GG84" s="122"/>
      <c r="GH84" s="122"/>
      <c r="GI84" s="122"/>
      <c r="GJ84" s="122"/>
      <c r="GK84" s="122"/>
      <c r="GL84" s="122"/>
      <c r="GM84" s="122"/>
      <c r="GN84" s="122"/>
      <c r="GO84" s="122"/>
      <c r="GP84" s="122"/>
      <c r="GQ84" s="122"/>
      <c r="GR84" s="122"/>
      <c r="GS84" s="122"/>
      <c r="GT84" s="122"/>
      <c r="GU84" s="122"/>
      <c r="GV84" s="122"/>
      <c r="GW84" s="122"/>
      <c r="GX84" s="122"/>
      <c r="GY84" s="122"/>
      <c r="GZ84" s="122"/>
      <c r="HA84" s="122"/>
      <c r="HB84" s="122"/>
      <c r="HC84" s="122"/>
      <c r="HD84" s="122"/>
      <c r="HE84" s="122"/>
      <c r="HF84" s="122"/>
      <c r="HG84" s="122"/>
      <c r="HH84" s="122"/>
      <c r="HI84" s="122"/>
      <c r="HJ84" s="122"/>
      <c r="HK84" s="122"/>
      <c r="HL84" s="122"/>
      <c r="HM84" s="122"/>
      <c r="HN84" s="122"/>
      <c r="HO84" s="122"/>
      <c r="HP84" s="122"/>
      <c r="HQ84" s="122"/>
      <c r="HR84" s="122"/>
      <c r="HS84" s="122"/>
      <c r="HT84" s="122"/>
      <c r="HU84" s="122"/>
      <c r="HV84" s="122"/>
      <c r="HW84" s="122"/>
      <c r="HX84" s="122"/>
      <c r="HY84" s="122"/>
      <c r="HZ84" s="122"/>
      <c r="IA84" s="122"/>
      <c r="IB84" s="122"/>
      <c r="IC84" s="122"/>
      <c r="ID84" s="122"/>
      <c r="IE84" s="122"/>
      <c r="IF84" s="122"/>
      <c r="IG84" s="122"/>
      <c r="IH84" s="122"/>
      <c r="II84" s="122"/>
      <c r="IJ84" s="122"/>
      <c r="IK84" s="122"/>
      <c r="IL84" s="122"/>
      <c r="IM84" s="122"/>
      <c r="IN84" s="122"/>
      <c r="IO84" s="122"/>
      <c r="IP84" s="122"/>
      <c r="IQ84" s="122"/>
      <c r="IR84" s="122"/>
      <c r="IS84" s="122"/>
      <c r="IT84" s="122"/>
      <c r="IU84" s="122"/>
      <c r="IV84" s="122"/>
      <c r="IW84" s="122"/>
      <c r="IX84" s="122"/>
      <c r="IY84" s="122"/>
      <c r="IZ84" s="122"/>
      <c r="JA84" s="122"/>
      <c r="JB84" s="122"/>
      <c r="JC84" s="122"/>
      <c r="JD84" s="122"/>
      <c r="JE84" s="122"/>
      <c r="JF84" s="122"/>
      <c r="JG84" s="122"/>
      <c r="JH84" s="122"/>
      <c r="JI84" s="119">
        <f t="shared" si="0"/>
        <v>0</v>
      </c>
      <c r="JJ84" s="2"/>
      <c r="JK84" s="122"/>
      <c r="JL84" s="125"/>
      <c r="JM84" s="125"/>
      <c r="JN84" s="125"/>
      <c r="JO84" s="125"/>
      <c r="JP84" s="125"/>
    </row>
    <row r="85" spans="1:276" x14ac:dyDescent="0.2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  <c r="BU85" s="122"/>
      <c r="BV85" s="122"/>
      <c r="BW85" s="122"/>
      <c r="BX85" s="122"/>
      <c r="BY85" s="122"/>
      <c r="BZ85" s="122"/>
      <c r="CA85" s="122"/>
      <c r="CB85" s="122"/>
      <c r="CC85" s="122"/>
      <c r="CD85" s="122"/>
      <c r="CE85" s="122"/>
      <c r="CF85" s="122"/>
      <c r="CG85" s="122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/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  <c r="GJ85" s="122"/>
      <c r="GK85" s="122"/>
      <c r="GL85" s="122"/>
      <c r="GM85" s="122"/>
      <c r="GN85" s="122"/>
      <c r="GO85" s="122"/>
      <c r="GP85" s="122"/>
      <c r="GQ85" s="122"/>
      <c r="GR85" s="122"/>
      <c r="GS85" s="122"/>
      <c r="GT85" s="122"/>
      <c r="GU85" s="122"/>
      <c r="GV85" s="122"/>
      <c r="GW85" s="122"/>
      <c r="GX85" s="122"/>
      <c r="GY85" s="122"/>
      <c r="GZ85" s="122"/>
      <c r="HA85" s="122"/>
      <c r="HB85" s="122"/>
      <c r="HC85" s="122"/>
      <c r="HD85" s="122"/>
      <c r="HE85" s="122"/>
      <c r="HF85" s="122"/>
      <c r="HG85" s="122"/>
      <c r="HH85" s="122"/>
      <c r="HI85" s="122"/>
      <c r="HJ85" s="122"/>
      <c r="HK85" s="122"/>
      <c r="HL85" s="122"/>
      <c r="HM85" s="122"/>
      <c r="HN85" s="122"/>
      <c r="HO85" s="122"/>
      <c r="HP85" s="122"/>
      <c r="HQ85" s="122"/>
      <c r="HR85" s="122"/>
      <c r="HS85" s="122"/>
      <c r="HT85" s="122"/>
      <c r="HU85" s="122"/>
      <c r="HV85" s="122"/>
      <c r="HW85" s="122"/>
      <c r="HX85" s="122"/>
      <c r="HY85" s="122"/>
      <c r="HZ85" s="122"/>
      <c r="IA85" s="122"/>
      <c r="IB85" s="122"/>
      <c r="IC85" s="122"/>
      <c r="ID85" s="122"/>
      <c r="IE85" s="122"/>
      <c r="IF85" s="122"/>
      <c r="IG85" s="122"/>
      <c r="IH85" s="122"/>
      <c r="II85" s="122"/>
      <c r="IJ85" s="122"/>
      <c r="IK85" s="122"/>
      <c r="IL85" s="122"/>
      <c r="IM85" s="122"/>
      <c r="IN85" s="122"/>
      <c r="IO85" s="122"/>
      <c r="IP85" s="122"/>
      <c r="IQ85" s="122"/>
      <c r="IR85" s="122"/>
      <c r="IS85" s="122"/>
      <c r="IT85" s="122"/>
      <c r="IU85" s="122"/>
      <c r="IV85" s="122"/>
      <c r="IW85" s="122"/>
      <c r="IX85" s="122"/>
      <c r="IY85" s="122"/>
      <c r="IZ85" s="122"/>
      <c r="JA85" s="122"/>
      <c r="JB85" s="122"/>
      <c r="JC85" s="122"/>
      <c r="JD85" s="122"/>
      <c r="JE85" s="122"/>
      <c r="JF85" s="122"/>
      <c r="JG85" s="122"/>
      <c r="JH85" s="122"/>
      <c r="JI85" s="119">
        <f t="shared" si="0"/>
        <v>0</v>
      </c>
      <c r="JJ85" s="2"/>
      <c r="JK85" s="122"/>
      <c r="JL85" s="125"/>
      <c r="JM85" s="125"/>
      <c r="JN85" s="125"/>
      <c r="JO85" s="125"/>
      <c r="JP85" s="125"/>
    </row>
    <row r="86" spans="1:276" x14ac:dyDescent="0.25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  <c r="BS86" s="122"/>
      <c r="BT86" s="122"/>
      <c r="BU86" s="122"/>
      <c r="BV86" s="122"/>
      <c r="BW86" s="122"/>
      <c r="BX86" s="122"/>
      <c r="BY86" s="122"/>
      <c r="BZ86" s="122"/>
      <c r="CA86" s="122"/>
      <c r="CB86" s="122"/>
      <c r="CC86" s="122"/>
      <c r="CD86" s="122"/>
      <c r="CE86" s="122"/>
      <c r="CF86" s="122"/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/>
      <c r="FJ86" s="122"/>
      <c r="FK86" s="122"/>
      <c r="FL86" s="122"/>
      <c r="FM86" s="122"/>
      <c r="FN86" s="122"/>
      <c r="FO86" s="122"/>
      <c r="FP86" s="122"/>
      <c r="FQ86" s="122"/>
      <c r="FR86" s="122"/>
      <c r="FS86" s="122"/>
      <c r="FT86" s="122"/>
      <c r="FU86" s="122"/>
      <c r="FV86" s="122"/>
      <c r="FW86" s="122"/>
      <c r="FX86" s="122"/>
      <c r="FY86" s="122"/>
      <c r="FZ86" s="122"/>
      <c r="GA86" s="122"/>
      <c r="GB86" s="122"/>
      <c r="GC86" s="122"/>
      <c r="GD86" s="122"/>
      <c r="GE86" s="122"/>
      <c r="GF86" s="122"/>
      <c r="GG86" s="122"/>
      <c r="GH86" s="122"/>
      <c r="GI86" s="122"/>
      <c r="GJ86" s="122"/>
      <c r="GK86" s="122"/>
      <c r="GL86" s="122"/>
      <c r="GM86" s="122"/>
      <c r="GN86" s="122"/>
      <c r="GO86" s="122"/>
      <c r="GP86" s="122"/>
      <c r="GQ86" s="122"/>
      <c r="GR86" s="122"/>
      <c r="GS86" s="122"/>
      <c r="GT86" s="122"/>
      <c r="GU86" s="122"/>
      <c r="GV86" s="122"/>
      <c r="GW86" s="122"/>
      <c r="GX86" s="122"/>
      <c r="GY86" s="122"/>
      <c r="GZ86" s="122"/>
      <c r="HA86" s="122"/>
      <c r="HB86" s="122"/>
      <c r="HC86" s="122"/>
      <c r="HD86" s="122"/>
      <c r="HE86" s="122"/>
      <c r="HF86" s="122"/>
      <c r="HG86" s="122"/>
      <c r="HH86" s="122"/>
      <c r="HI86" s="122"/>
      <c r="HJ86" s="122"/>
      <c r="HK86" s="122"/>
      <c r="HL86" s="122"/>
      <c r="HM86" s="122"/>
      <c r="HN86" s="122"/>
      <c r="HO86" s="122"/>
      <c r="HP86" s="122"/>
      <c r="HQ86" s="122"/>
      <c r="HR86" s="122"/>
      <c r="HS86" s="122"/>
      <c r="HT86" s="122"/>
      <c r="HU86" s="122"/>
      <c r="HV86" s="122"/>
      <c r="HW86" s="122"/>
      <c r="HX86" s="122"/>
      <c r="HY86" s="122"/>
      <c r="HZ86" s="122"/>
      <c r="IA86" s="122"/>
      <c r="IB86" s="122"/>
      <c r="IC86" s="122"/>
      <c r="ID86" s="122"/>
      <c r="IE86" s="122"/>
      <c r="IF86" s="122"/>
      <c r="IG86" s="122"/>
      <c r="IH86" s="122"/>
      <c r="II86" s="122"/>
      <c r="IJ86" s="122"/>
      <c r="IK86" s="122"/>
      <c r="IL86" s="122"/>
      <c r="IM86" s="122"/>
      <c r="IN86" s="122"/>
      <c r="IO86" s="122"/>
      <c r="IP86" s="122"/>
      <c r="IQ86" s="122"/>
      <c r="IR86" s="122"/>
      <c r="IS86" s="122"/>
      <c r="IT86" s="122"/>
      <c r="IU86" s="122"/>
      <c r="IV86" s="122"/>
      <c r="IW86" s="122"/>
      <c r="IX86" s="122"/>
      <c r="IY86" s="122"/>
      <c r="IZ86" s="122"/>
      <c r="JA86" s="122"/>
      <c r="JB86" s="122"/>
      <c r="JC86" s="122"/>
      <c r="JD86" s="122"/>
      <c r="JE86" s="122"/>
      <c r="JF86" s="122"/>
      <c r="JG86" s="122"/>
      <c r="JH86" s="122"/>
      <c r="JI86" s="119">
        <f t="shared" si="0"/>
        <v>0</v>
      </c>
      <c r="JJ86" s="2"/>
      <c r="JK86" s="122"/>
      <c r="JL86" s="125"/>
      <c r="JM86" s="125"/>
      <c r="JN86" s="125"/>
      <c r="JO86" s="125"/>
      <c r="JP86" s="125"/>
    </row>
    <row r="87" spans="1:276" x14ac:dyDescent="0.25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  <c r="BS87" s="122"/>
      <c r="BT87" s="122"/>
      <c r="BU87" s="122"/>
      <c r="BV87" s="122"/>
      <c r="BW87" s="122"/>
      <c r="BX87" s="122"/>
      <c r="BY87" s="122"/>
      <c r="BZ87" s="122"/>
      <c r="CA87" s="122"/>
      <c r="CB87" s="122"/>
      <c r="CC87" s="122"/>
      <c r="CD87" s="122"/>
      <c r="CE87" s="122"/>
      <c r="CF87" s="122"/>
      <c r="CG87" s="122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22"/>
      <c r="FD87" s="122"/>
      <c r="FE87" s="122"/>
      <c r="FF87" s="122"/>
      <c r="FG87" s="122"/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/>
      <c r="FU87" s="122"/>
      <c r="FV87" s="122"/>
      <c r="FW87" s="122"/>
      <c r="FX87" s="122"/>
      <c r="FY87" s="122"/>
      <c r="FZ87" s="122"/>
      <c r="GA87" s="122"/>
      <c r="GB87" s="122"/>
      <c r="GC87" s="122"/>
      <c r="GD87" s="122"/>
      <c r="GE87" s="122"/>
      <c r="GF87" s="122"/>
      <c r="GG87" s="122"/>
      <c r="GH87" s="122"/>
      <c r="GI87" s="122"/>
      <c r="GJ87" s="122"/>
      <c r="GK87" s="122"/>
      <c r="GL87" s="122"/>
      <c r="GM87" s="122"/>
      <c r="GN87" s="122"/>
      <c r="GO87" s="122"/>
      <c r="GP87" s="122"/>
      <c r="GQ87" s="122"/>
      <c r="GR87" s="122"/>
      <c r="GS87" s="122"/>
      <c r="GT87" s="122"/>
      <c r="GU87" s="122"/>
      <c r="GV87" s="122"/>
      <c r="GW87" s="122"/>
      <c r="GX87" s="122"/>
      <c r="GY87" s="122"/>
      <c r="GZ87" s="122"/>
      <c r="HA87" s="122"/>
      <c r="HB87" s="122"/>
      <c r="HC87" s="122"/>
      <c r="HD87" s="122"/>
      <c r="HE87" s="122"/>
      <c r="HF87" s="122"/>
      <c r="HG87" s="122"/>
      <c r="HH87" s="122"/>
      <c r="HI87" s="122"/>
      <c r="HJ87" s="122"/>
      <c r="HK87" s="122"/>
      <c r="HL87" s="122"/>
      <c r="HM87" s="122"/>
      <c r="HN87" s="122"/>
      <c r="HO87" s="122"/>
      <c r="HP87" s="122"/>
      <c r="HQ87" s="122"/>
      <c r="HR87" s="122"/>
      <c r="HS87" s="122"/>
      <c r="HT87" s="122"/>
      <c r="HU87" s="122"/>
      <c r="HV87" s="122"/>
      <c r="HW87" s="122"/>
      <c r="HX87" s="122"/>
      <c r="HY87" s="122"/>
      <c r="HZ87" s="122"/>
      <c r="IA87" s="122"/>
      <c r="IB87" s="122"/>
      <c r="IC87" s="122"/>
      <c r="ID87" s="122"/>
      <c r="IE87" s="122"/>
      <c r="IF87" s="122"/>
      <c r="IG87" s="122"/>
      <c r="IH87" s="122"/>
      <c r="II87" s="122"/>
      <c r="IJ87" s="122"/>
      <c r="IK87" s="122"/>
      <c r="IL87" s="122"/>
      <c r="IM87" s="122"/>
      <c r="IN87" s="122"/>
      <c r="IO87" s="122"/>
      <c r="IP87" s="122"/>
      <c r="IQ87" s="122"/>
      <c r="IR87" s="122"/>
      <c r="IS87" s="122"/>
      <c r="IT87" s="122"/>
      <c r="IU87" s="122"/>
      <c r="IV87" s="122"/>
      <c r="IW87" s="122"/>
      <c r="IX87" s="122"/>
      <c r="IY87" s="122"/>
      <c r="IZ87" s="122"/>
      <c r="JA87" s="122"/>
      <c r="JB87" s="122"/>
      <c r="JC87" s="122"/>
      <c r="JD87" s="122"/>
      <c r="JE87" s="122"/>
      <c r="JF87" s="122"/>
      <c r="JG87" s="122"/>
      <c r="JH87" s="122"/>
      <c r="JI87" s="119">
        <f t="shared" si="0"/>
        <v>0</v>
      </c>
      <c r="JJ87" s="2"/>
      <c r="JK87" s="122"/>
      <c r="JL87" s="125">
        <f t="shared" ref="JL87:JL88" si="2">+JI87-JK87</f>
        <v>0</v>
      </c>
      <c r="JM87" s="125"/>
      <c r="JN87" s="125"/>
      <c r="JO87" s="125"/>
      <c r="JP87" s="125"/>
    </row>
    <row r="88" spans="1:276" x14ac:dyDescent="0.25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  <c r="BQ88" s="122"/>
      <c r="BR88" s="122"/>
      <c r="BS88" s="122"/>
      <c r="BT88" s="122"/>
      <c r="BU88" s="122"/>
      <c r="BV88" s="122"/>
      <c r="BW88" s="122"/>
      <c r="BX88" s="122"/>
      <c r="BY88" s="122"/>
      <c r="BZ88" s="122"/>
      <c r="CA88" s="122"/>
      <c r="CB88" s="122"/>
      <c r="CC88" s="122"/>
      <c r="CD88" s="122"/>
      <c r="CE88" s="122"/>
      <c r="CF88" s="122"/>
      <c r="CG88" s="122"/>
      <c r="CH88" s="122"/>
      <c r="CI88" s="122"/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/>
      <c r="EZ88" s="122"/>
      <c r="FA88" s="122"/>
      <c r="FB88" s="122"/>
      <c r="FC88" s="122"/>
      <c r="FD88" s="122"/>
      <c r="FE88" s="122"/>
      <c r="FF88" s="122"/>
      <c r="FG88" s="122"/>
      <c r="FH88" s="122"/>
      <c r="FI88" s="122"/>
      <c r="FJ88" s="122"/>
      <c r="FK88" s="122"/>
      <c r="FL88" s="122"/>
      <c r="FM88" s="122"/>
      <c r="FN88" s="122"/>
      <c r="FO88" s="122"/>
      <c r="FP88" s="122"/>
      <c r="FQ88" s="122"/>
      <c r="FR88" s="122"/>
      <c r="FS88" s="122"/>
      <c r="FT88" s="122"/>
      <c r="FU88" s="122"/>
      <c r="FV88" s="122"/>
      <c r="FW88" s="122"/>
      <c r="FX88" s="122"/>
      <c r="FY88" s="122"/>
      <c r="FZ88" s="122"/>
      <c r="GA88" s="122"/>
      <c r="GB88" s="122"/>
      <c r="GC88" s="122"/>
      <c r="GD88" s="122"/>
      <c r="GE88" s="122"/>
      <c r="GF88" s="122"/>
      <c r="GG88" s="122"/>
      <c r="GH88" s="122"/>
      <c r="GI88" s="122"/>
      <c r="GJ88" s="122"/>
      <c r="GK88" s="122"/>
      <c r="GL88" s="122"/>
      <c r="GM88" s="122"/>
      <c r="GN88" s="122"/>
      <c r="GO88" s="122"/>
      <c r="GP88" s="122"/>
      <c r="GQ88" s="122"/>
      <c r="GR88" s="122"/>
      <c r="GS88" s="122"/>
      <c r="GT88" s="122"/>
      <c r="GU88" s="122"/>
      <c r="GV88" s="122"/>
      <c r="GW88" s="122"/>
      <c r="GX88" s="122"/>
      <c r="GY88" s="122"/>
      <c r="GZ88" s="122"/>
      <c r="HA88" s="122"/>
      <c r="HB88" s="122"/>
      <c r="HC88" s="122"/>
      <c r="HD88" s="122"/>
      <c r="HE88" s="122"/>
      <c r="HF88" s="122"/>
      <c r="HG88" s="122"/>
      <c r="HH88" s="122"/>
      <c r="HI88" s="122"/>
      <c r="HJ88" s="122"/>
      <c r="HK88" s="122"/>
      <c r="HL88" s="122"/>
      <c r="HM88" s="122"/>
      <c r="HN88" s="122"/>
      <c r="HO88" s="122"/>
      <c r="HP88" s="122"/>
      <c r="HQ88" s="122"/>
      <c r="HR88" s="122"/>
      <c r="HS88" s="122"/>
      <c r="HT88" s="122"/>
      <c r="HU88" s="122"/>
      <c r="HV88" s="122"/>
      <c r="HW88" s="122"/>
      <c r="HX88" s="122"/>
      <c r="HY88" s="122"/>
      <c r="HZ88" s="122"/>
      <c r="IA88" s="122"/>
      <c r="IB88" s="122"/>
      <c r="IC88" s="122"/>
      <c r="ID88" s="122"/>
      <c r="IE88" s="122"/>
      <c r="IF88" s="122"/>
      <c r="IG88" s="122"/>
      <c r="IH88" s="122"/>
      <c r="II88" s="122"/>
      <c r="IJ88" s="122"/>
      <c r="IK88" s="122"/>
      <c r="IL88" s="122"/>
      <c r="IM88" s="122"/>
      <c r="IN88" s="122"/>
      <c r="IO88" s="122"/>
      <c r="IP88" s="122"/>
      <c r="IQ88" s="122"/>
      <c r="IR88" s="122"/>
      <c r="IS88" s="122"/>
      <c r="IT88" s="122"/>
      <c r="IU88" s="122"/>
      <c r="IV88" s="122"/>
      <c r="IW88" s="122"/>
      <c r="IX88" s="122"/>
      <c r="IY88" s="122"/>
      <c r="IZ88" s="122"/>
      <c r="JA88" s="122"/>
      <c r="JB88" s="122"/>
      <c r="JC88" s="122"/>
      <c r="JD88" s="122"/>
      <c r="JE88" s="122"/>
      <c r="JF88" s="122"/>
      <c r="JG88" s="122"/>
      <c r="JH88" s="122"/>
      <c r="JI88" s="119">
        <f t="shared" ref="JI88" si="3">SUM(A88:JH88)</f>
        <v>0</v>
      </c>
      <c r="JJ88" s="2"/>
      <c r="JK88" s="122"/>
      <c r="JL88" s="125">
        <f t="shared" si="2"/>
        <v>0</v>
      </c>
      <c r="JM88" s="125"/>
      <c r="JN88" s="125"/>
      <c r="JO88" s="125"/>
      <c r="JP88" s="125"/>
    </row>
    <row r="89" spans="1:276" x14ac:dyDescent="0.25">
      <c r="A89" s="119">
        <f t="shared" ref="A89:BL89" si="4">SUM(A3:A88)</f>
        <v>0</v>
      </c>
      <c r="B89" s="119">
        <f t="shared" si="4"/>
        <v>0</v>
      </c>
      <c r="C89" s="119">
        <f t="shared" si="4"/>
        <v>0</v>
      </c>
      <c r="D89" s="119">
        <f t="shared" si="4"/>
        <v>0</v>
      </c>
      <c r="E89" s="119">
        <f t="shared" si="4"/>
        <v>0</v>
      </c>
      <c r="F89" s="119">
        <f t="shared" si="4"/>
        <v>0</v>
      </c>
      <c r="G89" s="119">
        <f t="shared" si="4"/>
        <v>0</v>
      </c>
      <c r="H89" s="119">
        <f t="shared" si="4"/>
        <v>0</v>
      </c>
      <c r="I89" s="119">
        <f t="shared" si="4"/>
        <v>0</v>
      </c>
      <c r="J89" s="119">
        <f t="shared" si="4"/>
        <v>0</v>
      </c>
      <c r="K89" s="119">
        <f t="shared" si="4"/>
        <v>0</v>
      </c>
      <c r="L89" s="119">
        <f t="shared" si="4"/>
        <v>0</v>
      </c>
      <c r="M89" s="119">
        <f t="shared" si="4"/>
        <v>0</v>
      </c>
      <c r="N89" s="119">
        <f t="shared" si="4"/>
        <v>0</v>
      </c>
      <c r="O89" s="119">
        <f t="shared" si="4"/>
        <v>0</v>
      </c>
      <c r="P89" s="119">
        <f t="shared" si="4"/>
        <v>0</v>
      </c>
      <c r="Q89" s="119">
        <f t="shared" si="4"/>
        <v>0</v>
      </c>
      <c r="R89" s="119">
        <f t="shared" si="4"/>
        <v>0</v>
      </c>
      <c r="S89" s="119">
        <f t="shared" si="4"/>
        <v>0</v>
      </c>
      <c r="T89" s="119">
        <f t="shared" si="4"/>
        <v>0</v>
      </c>
      <c r="U89" s="119">
        <f t="shared" si="4"/>
        <v>0</v>
      </c>
      <c r="V89" s="119">
        <f t="shared" si="4"/>
        <v>0</v>
      </c>
      <c r="W89" s="119">
        <f t="shared" si="4"/>
        <v>0</v>
      </c>
      <c r="X89" s="119">
        <f t="shared" si="4"/>
        <v>0</v>
      </c>
      <c r="Y89" s="119">
        <f t="shared" si="4"/>
        <v>0</v>
      </c>
      <c r="Z89" s="119">
        <f t="shared" si="4"/>
        <v>0</v>
      </c>
      <c r="AA89" s="119">
        <f t="shared" si="4"/>
        <v>0</v>
      </c>
      <c r="AB89" s="119">
        <f t="shared" si="4"/>
        <v>0</v>
      </c>
      <c r="AC89" s="119">
        <f t="shared" si="4"/>
        <v>0</v>
      </c>
      <c r="AD89" s="119">
        <f t="shared" si="4"/>
        <v>0</v>
      </c>
      <c r="AE89" s="119">
        <f t="shared" si="4"/>
        <v>0</v>
      </c>
      <c r="AF89" s="119">
        <f t="shared" si="4"/>
        <v>0</v>
      </c>
      <c r="AG89" s="119">
        <f t="shared" si="4"/>
        <v>0</v>
      </c>
      <c r="AH89" s="119">
        <f t="shared" si="4"/>
        <v>0</v>
      </c>
      <c r="AI89" s="119">
        <f t="shared" si="4"/>
        <v>0</v>
      </c>
      <c r="AJ89" s="119">
        <f t="shared" si="4"/>
        <v>0</v>
      </c>
      <c r="AK89" s="119">
        <f t="shared" si="4"/>
        <v>0</v>
      </c>
      <c r="AL89" s="119">
        <f t="shared" si="4"/>
        <v>0</v>
      </c>
      <c r="AM89" s="119">
        <f t="shared" si="4"/>
        <v>0</v>
      </c>
      <c r="AN89" s="119">
        <f t="shared" si="4"/>
        <v>0</v>
      </c>
      <c r="AO89" s="119">
        <f t="shared" si="4"/>
        <v>0</v>
      </c>
      <c r="AP89" s="119">
        <f t="shared" si="4"/>
        <v>0</v>
      </c>
      <c r="AQ89" s="119">
        <f t="shared" si="4"/>
        <v>209036.41</v>
      </c>
      <c r="AR89" s="119">
        <f t="shared" si="4"/>
        <v>0</v>
      </c>
      <c r="AS89" s="119">
        <f t="shared" si="4"/>
        <v>104427.01</v>
      </c>
      <c r="AT89" s="119">
        <f t="shared" si="4"/>
        <v>0</v>
      </c>
      <c r="AU89" s="119">
        <f t="shared" si="4"/>
        <v>0</v>
      </c>
      <c r="AV89" s="119">
        <f t="shared" si="4"/>
        <v>0</v>
      </c>
      <c r="AW89" s="119">
        <f t="shared" si="4"/>
        <v>785000</v>
      </c>
      <c r="AX89" s="119">
        <f t="shared" si="4"/>
        <v>0</v>
      </c>
      <c r="AY89" s="119">
        <f t="shared" si="4"/>
        <v>0</v>
      </c>
      <c r="AZ89" s="119">
        <f t="shared" si="4"/>
        <v>0</v>
      </c>
      <c r="BA89" s="119">
        <f t="shared" si="4"/>
        <v>0</v>
      </c>
      <c r="BB89" s="119">
        <f t="shared" si="4"/>
        <v>20000</v>
      </c>
      <c r="BC89" s="119">
        <f t="shared" si="4"/>
        <v>56000</v>
      </c>
      <c r="BD89" s="119">
        <f t="shared" si="4"/>
        <v>0</v>
      </c>
      <c r="BE89" s="119">
        <f t="shared" si="4"/>
        <v>0</v>
      </c>
      <c r="BF89" s="119">
        <f t="shared" si="4"/>
        <v>0</v>
      </c>
      <c r="BG89" s="119">
        <f t="shared" si="4"/>
        <v>0</v>
      </c>
      <c r="BH89" s="119">
        <f t="shared" si="4"/>
        <v>0</v>
      </c>
      <c r="BI89" s="119">
        <f t="shared" si="4"/>
        <v>476550.64</v>
      </c>
      <c r="BJ89" s="119">
        <f t="shared" si="4"/>
        <v>0</v>
      </c>
      <c r="BK89" s="119">
        <f t="shared" si="4"/>
        <v>0</v>
      </c>
      <c r="BL89" s="119">
        <f t="shared" si="4"/>
        <v>0</v>
      </c>
      <c r="BM89" s="119">
        <f t="shared" ref="BM89:DX89" si="5">SUM(BM3:BM88)</f>
        <v>0</v>
      </c>
      <c r="BN89" s="119">
        <f t="shared" si="5"/>
        <v>0</v>
      </c>
      <c r="BO89" s="119">
        <f t="shared" si="5"/>
        <v>0</v>
      </c>
      <c r="BP89" s="119">
        <f t="shared" si="5"/>
        <v>0</v>
      </c>
      <c r="BQ89" s="119">
        <f t="shared" si="5"/>
        <v>53100</v>
      </c>
      <c r="BR89" s="119">
        <f t="shared" si="5"/>
        <v>0</v>
      </c>
      <c r="BS89" s="119">
        <f t="shared" si="5"/>
        <v>0</v>
      </c>
      <c r="BT89" s="119">
        <f t="shared" si="5"/>
        <v>0</v>
      </c>
      <c r="BU89" s="119">
        <f t="shared" si="5"/>
        <v>0</v>
      </c>
      <c r="BV89" s="119">
        <f t="shared" si="5"/>
        <v>0</v>
      </c>
      <c r="BW89" s="119">
        <f t="shared" si="5"/>
        <v>0</v>
      </c>
      <c r="BX89" s="119">
        <f t="shared" si="5"/>
        <v>0</v>
      </c>
      <c r="BY89" s="119">
        <f t="shared" si="5"/>
        <v>0</v>
      </c>
      <c r="BZ89" s="119">
        <f t="shared" si="5"/>
        <v>0</v>
      </c>
      <c r="CA89" s="119">
        <f t="shared" si="5"/>
        <v>0</v>
      </c>
      <c r="CB89" s="119">
        <f t="shared" si="5"/>
        <v>0</v>
      </c>
      <c r="CC89" s="119">
        <f t="shared" si="5"/>
        <v>0</v>
      </c>
      <c r="CD89" s="119">
        <f t="shared" si="5"/>
        <v>0</v>
      </c>
      <c r="CE89" s="119">
        <f t="shared" si="5"/>
        <v>0</v>
      </c>
      <c r="CF89" s="119">
        <f t="shared" si="5"/>
        <v>0</v>
      </c>
      <c r="CG89" s="119">
        <f t="shared" si="5"/>
        <v>0</v>
      </c>
      <c r="CH89" s="119">
        <f t="shared" si="5"/>
        <v>0</v>
      </c>
      <c r="CI89" s="119">
        <f t="shared" si="5"/>
        <v>0</v>
      </c>
      <c r="CJ89" s="119">
        <f t="shared" si="5"/>
        <v>0</v>
      </c>
      <c r="CK89" s="119">
        <f t="shared" si="5"/>
        <v>0</v>
      </c>
      <c r="CL89" s="119">
        <f t="shared" si="5"/>
        <v>205899.13999999998</v>
      </c>
      <c r="CM89" s="119">
        <f t="shared" si="5"/>
        <v>0</v>
      </c>
      <c r="CN89" s="119">
        <f t="shared" si="5"/>
        <v>0</v>
      </c>
      <c r="CO89" s="119">
        <f t="shared" si="5"/>
        <v>0</v>
      </c>
      <c r="CP89" s="119">
        <f t="shared" si="5"/>
        <v>0</v>
      </c>
      <c r="CQ89" s="119">
        <f t="shared" si="5"/>
        <v>0</v>
      </c>
      <c r="CR89" s="119">
        <f t="shared" si="5"/>
        <v>0</v>
      </c>
      <c r="CS89" s="119">
        <f t="shared" si="5"/>
        <v>0</v>
      </c>
      <c r="CT89" s="119">
        <f t="shared" si="5"/>
        <v>0</v>
      </c>
      <c r="CU89" s="119">
        <f t="shared" si="5"/>
        <v>92016.4</v>
      </c>
      <c r="CV89" s="119">
        <f t="shared" si="5"/>
        <v>0</v>
      </c>
      <c r="CW89" s="119">
        <f t="shared" si="5"/>
        <v>0</v>
      </c>
      <c r="CX89" s="119">
        <f t="shared" si="5"/>
        <v>0</v>
      </c>
      <c r="CY89" s="119">
        <f t="shared" si="5"/>
        <v>0</v>
      </c>
      <c r="CZ89" s="119">
        <f t="shared" si="5"/>
        <v>0</v>
      </c>
      <c r="DA89" s="119">
        <f t="shared" si="5"/>
        <v>0</v>
      </c>
      <c r="DB89" s="119">
        <f t="shared" si="5"/>
        <v>0</v>
      </c>
      <c r="DC89" s="119">
        <f t="shared" si="5"/>
        <v>0</v>
      </c>
      <c r="DD89" s="119">
        <f t="shared" si="5"/>
        <v>0</v>
      </c>
      <c r="DE89" s="119">
        <f t="shared" si="5"/>
        <v>42033</v>
      </c>
      <c r="DF89" s="119">
        <f t="shared" si="5"/>
        <v>0</v>
      </c>
      <c r="DG89" s="119">
        <f t="shared" si="5"/>
        <v>0</v>
      </c>
      <c r="DH89" s="119">
        <f t="shared" si="5"/>
        <v>0</v>
      </c>
      <c r="DI89" s="119">
        <f t="shared" si="5"/>
        <v>0</v>
      </c>
      <c r="DJ89" s="119">
        <f t="shared" si="5"/>
        <v>0</v>
      </c>
      <c r="DK89" s="119">
        <f t="shared" si="5"/>
        <v>355075</v>
      </c>
      <c r="DL89" s="119">
        <f t="shared" si="5"/>
        <v>0</v>
      </c>
      <c r="DM89" s="119">
        <f t="shared" si="5"/>
        <v>0</v>
      </c>
      <c r="DN89" s="119">
        <f t="shared" si="5"/>
        <v>0</v>
      </c>
      <c r="DO89" s="119">
        <f t="shared" si="5"/>
        <v>0</v>
      </c>
      <c r="DP89" s="119">
        <f t="shared" si="5"/>
        <v>0</v>
      </c>
      <c r="DQ89" s="119">
        <f t="shared" si="5"/>
        <v>0</v>
      </c>
      <c r="DR89" s="119">
        <f t="shared" si="5"/>
        <v>141128</v>
      </c>
      <c r="DS89" s="119">
        <f t="shared" si="5"/>
        <v>0</v>
      </c>
      <c r="DT89" s="119">
        <f t="shared" si="5"/>
        <v>0</v>
      </c>
      <c r="DU89" s="119">
        <f t="shared" si="5"/>
        <v>0</v>
      </c>
      <c r="DV89" s="119">
        <f t="shared" si="5"/>
        <v>498900</v>
      </c>
      <c r="DW89" s="119">
        <f t="shared" si="5"/>
        <v>108265</v>
      </c>
      <c r="DX89" s="119">
        <f t="shared" si="5"/>
        <v>0</v>
      </c>
      <c r="DY89" s="119">
        <f t="shared" ref="DY89:GJ89" si="6">SUM(DY3:DY88)</f>
        <v>0</v>
      </c>
      <c r="DZ89" s="119">
        <f t="shared" si="6"/>
        <v>0</v>
      </c>
      <c r="EA89" s="119">
        <f t="shared" si="6"/>
        <v>130100</v>
      </c>
      <c r="EB89" s="119">
        <f t="shared" si="6"/>
        <v>0</v>
      </c>
      <c r="EC89" s="119">
        <f t="shared" si="6"/>
        <v>0</v>
      </c>
      <c r="ED89" s="119">
        <f t="shared" si="6"/>
        <v>0</v>
      </c>
      <c r="EE89" s="119">
        <f t="shared" si="6"/>
        <v>0</v>
      </c>
      <c r="EF89" s="119">
        <f t="shared" si="6"/>
        <v>0</v>
      </c>
      <c r="EG89" s="119">
        <f t="shared" si="6"/>
        <v>0</v>
      </c>
      <c r="EH89" s="119">
        <f t="shared" si="6"/>
        <v>0</v>
      </c>
      <c r="EI89" s="119">
        <f t="shared" si="6"/>
        <v>0</v>
      </c>
      <c r="EJ89" s="119">
        <f t="shared" si="6"/>
        <v>0</v>
      </c>
      <c r="EK89" s="119">
        <f t="shared" si="6"/>
        <v>0</v>
      </c>
      <c r="EL89" s="119">
        <f t="shared" si="6"/>
        <v>0</v>
      </c>
      <c r="EM89" s="119">
        <f t="shared" si="6"/>
        <v>0</v>
      </c>
      <c r="EN89" s="119">
        <f t="shared" si="6"/>
        <v>0</v>
      </c>
      <c r="EO89" s="119">
        <f t="shared" si="6"/>
        <v>0</v>
      </c>
      <c r="EP89" s="119">
        <f t="shared" si="6"/>
        <v>0</v>
      </c>
      <c r="EQ89" s="119">
        <f t="shared" si="6"/>
        <v>0</v>
      </c>
      <c r="ER89" s="119">
        <f t="shared" si="6"/>
        <v>0</v>
      </c>
      <c r="ES89" s="119">
        <f t="shared" si="6"/>
        <v>0</v>
      </c>
      <c r="ET89" s="119">
        <f t="shared" si="6"/>
        <v>0</v>
      </c>
      <c r="EU89" s="119">
        <f t="shared" si="6"/>
        <v>0</v>
      </c>
      <c r="EV89" s="119">
        <f t="shared" si="6"/>
        <v>0</v>
      </c>
      <c r="EW89" s="119">
        <f t="shared" si="6"/>
        <v>0</v>
      </c>
      <c r="EX89" s="119">
        <f t="shared" si="6"/>
        <v>0</v>
      </c>
      <c r="EY89" s="119">
        <f t="shared" si="6"/>
        <v>0</v>
      </c>
      <c r="EZ89" s="119">
        <f t="shared" si="6"/>
        <v>0</v>
      </c>
      <c r="FA89" s="119">
        <f t="shared" si="6"/>
        <v>172000</v>
      </c>
      <c r="FB89" s="119">
        <f t="shared" si="6"/>
        <v>0</v>
      </c>
      <c r="FC89" s="119">
        <f t="shared" si="6"/>
        <v>0</v>
      </c>
      <c r="FD89" s="119">
        <f t="shared" si="6"/>
        <v>47073</v>
      </c>
      <c r="FE89" s="119">
        <f t="shared" si="6"/>
        <v>0</v>
      </c>
      <c r="FF89" s="119">
        <f t="shared" si="6"/>
        <v>0</v>
      </c>
      <c r="FG89" s="119">
        <f t="shared" si="6"/>
        <v>0</v>
      </c>
      <c r="FH89" s="119">
        <f t="shared" si="6"/>
        <v>0</v>
      </c>
      <c r="FI89" s="119">
        <f t="shared" si="6"/>
        <v>0</v>
      </c>
      <c r="FJ89" s="119">
        <f t="shared" si="6"/>
        <v>846850</v>
      </c>
      <c r="FK89" s="119">
        <f t="shared" si="6"/>
        <v>0</v>
      </c>
      <c r="FL89" s="119">
        <f t="shared" si="6"/>
        <v>0</v>
      </c>
      <c r="FM89" s="119">
        <f t="shared" si="6"/>
        <v>0</v>
      </c>
      <c r="FN89" s="119">
        <f t="shared" si="6"/>
        <v>0</v>
      </c>
      <c r="FO89" s="119">
        <f t="shared" si="6"/>
        <v>0</v>
      </c>
      <c r="FP89" s="119">
        <f t="shared" si="6"/>
        <v>0</v>
      </c>
      <c r="FQ89" s="119">
        <f t="shared" si="6"/>
        <v>98506.4</v>
      </c>
      <c r="FR89" s="119">
        <f t="shared" si="6"/>
        <v>0</v>
      </c>
      <c r="FS89" s="119">
        <f t="shared" si="6"/>
        <v>0</v>
      </c>
      <c r="FT89" s="119">
        <f t="shared" si="6"/>
        <v>108884.20000000001</v>
      </c>
      <c r="FU89" s="119">
        <f t="shared" si="6"/>
        <v>0</v>
      </c>
      <c r="FV89" s="119">
        <f t="shared" si="6"/>
        <v>0</v>
      </c>
      <c r="FW89" s="119">
        <f t="shared" si="6"/>
        <v>0</v>
      </c>
      <c r="FX89" s="119">
        <f t="shared" si="6"/>
        <v>0</v>
      </c>
      <c r="FY89" s="119">
        <f t="shared" si="6"/>
        <v>0</v>
      </c>
      <c r="FZ89" s="119">
        <f t="shared" si="6"/>
        <v>0</v>
      </c>
      <c r="GA89" s="119">
        <f t="shared" si="6"/>
        <v>50620</v>
      </c>
      <c r="GB89" s="119">
        <f t="shared" si="6"/>
        <v>0</v>
      </c>
      <c r="GC89" s="119">
        <f t="shared" si="6"/>
        <v>0</v>
      </c>
      <c r="GD89" s="119">
        <f t="shared" si="6"/>
        <v>480808</v>
      </c>
      <c r="GE89" s="119">
        <f t="shared" si="6"/>
        <v>0</v>
      </c>
      <c r="GF89" s="119">
        <f t="shared" si="6"/>
        <v>0</v>
      </c>
      <c r="GG89" s="119">
        <f t="shared" si="6"/>
        <v>0</v>
      </c>
      <c r="GH89" s="119">
        <f t="shared" si="6"/>
        <v>0</v>
      </c>
      <c r="GI89" s="119">
        <f t="shared" si="6"/>
        <v>0</v>
      </c>
      <c r="GJ89" s="119">
        <f t="shared" si="6"/>
        <v>0</v>
      </c>
      <c r="GK89" s="119">
        <f t="shared" ref="GK89:IV89" si="7">SUM(GK3:GK88)</f>
        <v>0</v>
      </c>
      <c r="GL89" s="119">
        <f t="shared" si="7"/>
        <v>0</v>
      </c>
      <c r="GM89" s="119">
        <f t="shared" si="7"/>
        <v>0</v>
      </c>
      <c r="GN89" s="119">
        <f t="shared" si="7"/>
        <v>0</v>
      </c>
      <c r="GO89" s="119">
        <f t="shared" si="7"/>
        <v>0</v>
      </c>
      <c r="GP89" s="119">
        <f t="shared" si="7"/>
        <v>0</v>
      </c>
      <c r="GQ89" s="119">
        <f t="shared" si="7"/>
        <v>0</v>
      </c>
      <c r="GR89" s="119">
        <f t="shared" si="7"/>
        <v>2221942.19</v>
      </c>
      <c r="GS89" s="119">
        <f t="shared" si="7"/>
        <v>0</v>
      </c>
      <c r="GT89" s="119">
        <f t="shared" si="7"/>
        <v>1705100</v>
      </c>
      <c r="GU89" s="119">
        <f t="shared" si="7"/>
        <v>0</v>
      </c>
      <c r="GV89" s="119">
        <f t="shared" si="7"/>
        <v>0</v>
      </c>
      <c r="GW89" s="119">
        <f t="shared" si="7"/>
        <v>0</v>
      </c>
      <c r="GX89" s="119">
        <f t="shared" si="7"/>
        <v>0</v>
      </c>
      <c r="GY89" s="119">
        <f t="shared" si="7"/>
        <v>0</v>
      </c>
      <c r="GZ89" s="119">
        <f t="shared" si="7"/>
        <v>0</v>
      </c>
      <c r="HA89" s="119">
        <f t="shared" si="7"/>
        <v>0</v>
      </c>
      <c r="HB89" s="119">
        <f t="shared" si="7"/>
        <v>0</v>
      </c>
      <c r="HC89" s="119">
        <f t="shared" si="7"/>
        <v>0</v>
      </c>
      <c r="HD89" s="119">
        <f t="shared" si="7"/>
        <v>0</v>
      </c>
      <c r="HE89" s="119">
        <f t="shared" si="7"/>
        <v>0</v>
      </c>
      <c r="HF89" s="119">
        <f t="shared" si="7"/>
        <v>0</v>
      </c>
      <c r="HG89" s="119">
        <f t="shared" si="7"/>
        <v>0</v>
      </c>
      <c r="HH89" s="119">
        <f t="shared" si="7"/>
        <v>0</v>
      </c>
      <c r="HI89" s="119">
        <f t="shared" si="7"/>
        <v>0</v>
      </c>
      <c r="HJ89" s="119">
        <f t="shared" si="7"/>
        <v>0</v>
      </c>
      <c r="HK89" s="119">
        <f t="shared" si="7"/>
        <v>0</v>
      </c>
      <c r="HL89" s="119">
        <f t="shared" si="7"/>
        <v>0</v>
      </c>
      <c r="HM89" s="119">
        <f t="shared" si="7"/>
        <v>0</v>
      </c>
      <c r="HN89" s="119">
        <f t="shared" si="7"/>
        <v>0</v>
      </c>
      <c r="HO89" s="119">
        <f t="shared" si="7"/>
        <v>0</v>
      </c>
      <c r="HP89" s="119">
        <f t="shared" si="7"/>
        <v>0</v>
      </c>
      <c r="HQ89" s="119">
        <f t="shared" si="7"/>
        <v>0</v>
      </c>
      <c r="HR89" s="119">
        <f t="shared" si="7"/>
        <v>0</v>
      </c>
      <c r="HS89" s="119">
        <f t="shared" si="7"/>
        <v>0</v>
      </c>
      <c r="HT89" s="119">
        <f t="shared" si="7"/>
        <v>0</v>
      </c>
      <c r="HU89" s="119">
        <f t="shared" si="7"/>
        <v>0</v>
      </c>
      <c r="HV89" s="119">
        <f t="shared" si="7"/>
        <v>0</v>
      </c>
      <c r="HW89" s="119">
        <f t="shared" si="7"/>
        <v>0</v>
      </c>
      <c r="HX89" s="119">
        <f t="shared" si="7"/>
        <v>0</v>
      </c>
      <c r="HY89" s="119">
        <f t="shared" si="7"/>
        <v>0</v>
      </c>
      <c r="HZ89" s="119">
        <f t="shared" si="7"/>
        <v>0</v>
      </c>
      <c r="IA89" s="119">
        <f t="shared" si="7"/>
        <v>0</v>
      </c>
      <c r="IB89" s="119">
        <f t="shared" si="7"/>
        <v>0</v>
      </c>
      <c r="IC89" s="119">
        <f t="shared" si="7"/>
        <v>0</v>
      </c>
      <c r="ID89" s="119">
        <f t="shared" si="7"/>
        <v>0</v>
      </c>
      <c r="IE89" s="119">
        <f t="shared" si="7"/>
        <v>0</v>
      </c>
      <c r="IF89" s="119">
        <f t="shared" si="7"/>
        <v>0</v>
      </c>
      <c r="IG89" s="119">
        <f t="shared" si="7"/>
        <v>0</v>
      </c>
      <c r="IH89" s="119">
        <f t="shared" si="7"/>
        <v>0</v>
      </c>
      <c r="II89" s="119">
        <f t="shared" si="7"/>
        <v>0</v>
      </c>
      <c r="IJ89" s="119">
        <f t="shared" si="7"/>
        <v>0</v>
      </c>
      <c r="IK89" s="119">
        <f t="shared" si="7"/>
        <v>0</v>
      </c>
      <c r="IL89" s="119">
        <f t="shared" si="7"/>
        <v>0</v>
      </c>
      <c r="IM89" s="119">
        <f t="shared" si="7"/>
        <v>0</v>
      </c>
      <c r="IN89" s="119">
        <f t="shared" si="7"/>
        <v>0</v>
      </c>
      <c r="IO89" s="119">
        <f t="shared" si="7"/>
        <v>0</v>
      </c>
      <c r="IP89" s="119">
        <f t="shared" si="7"/>
        <v>0</v>
      </c>
      <c r="IQ89" s="119">
        <f t="shared" si="7"/>
        <v>0</v>
      </c>
      <c r="IR89" s="119">
        <f t="shared" si="7"/>
        <v>0</v>
      </c>
      <c r="IS89" s="119">
        <f t="shared" si="7"/>
        <v>0</v>
      </c>
      <c r="IT89" s="119">
        <f t="shared" si="7"/>
        <v>0</v>
      </c>
      <c r="IU89" s="119">
        <f t="shared" si="7"/>
        <v>0</v>
      </c>
      <c r="IV89" s="119">
        <f t="shared" si="7"/>
        <v>0</v>
      </c>
      <c r="IW89" s="119">
        <f t="shared" ref="IW89:JH89" si="8">SUM(IW3:IW88)</f>
        <v>0</v>
      </c>
      <c r="IX89" s="119">
        <f t="shared" si="8"/>
        <v>0</v>
      </c>
      <c r="IY89" s="119">
        <f t="shared" si="8"/>
        <v>0</v>
      </c>
      <c r="IZ89" s="119">
        <f t="shared" si="8"/>
        <v>0</v>
      </c>
      <c r="JA89" s="119">
        <f t="shared" si="8"/>
        <v>0</v>
      </c>
      <c r="JB89" s="119">
        <f t="shared" si="8"/>
        <v>0</v>
      </c>
      <c r="JC89" s="119">
        <f t="shared" si="8"/>
        <v>0</v>
      </c>
      <c r="JD89" s="119">
        <f t="shared" si="8"/>
        <v>0</v>
      </c>
      <c r="JE89" s="119">
        <f t="shared" si="8"/>
        <v>0</v>
      </c>
      <c r="JF89" s="119">
        <f t="shared" si="8"/>
        <v>0</v>
      </c>
      <c r="JG89" s="119">
        <f t="shared" si="8"/>
        <v>0</v>
      </c>
      <c r="JH89" s="119">
        <f t="shared" si="8"/>
        <v>0</v>
      </c>
      <c r="JI89" s="119">
        <f>SUM(A89:JH89)</f>
        <v>9009314.3900000006</v>
      </c>
      <c r="JJ89" s="119"/>
      <c r="JK89" s="122"/>
      <c r="JL89" s="122">
        <f>SUM(JL3:JL88)</f>
        <v>0</v>
      </c>
      <c r="JM89" s="122">
        <f>SUM(JM3:JM88)</f>
        <v>0</v>
      </c>
      <c r="JN89" s="122">
        <f>SUM(JN3:JN88)</f>
        <v>0</v>
      </c>
      <c r="JO89" s="122">
        <f>SUM(JO3:JO88)</f>
        <v>0</v>
      </c>
      <c r="JP89" s="122">
        <f>SUM(JP3:JP88)</f>
        <v>0</v>
      </c>
    </row>
    <row r="90" spans="1:276" ht="18.75" x14ac:dyDescent="0.3">
      <c r="A90" s="118">
        <v>211101</v>
      </c>
      <c r="B90" s="118">
        <v>211102</v>
      </c>
      <c r="C90" s="118">
        <v>211103</v>
      </c>
      <c r="D90" s="118">
        <v>211104</v>
      </c>
      <c r="E90" s="118">
        <v>211105</v>
      </c>
      <c r="F90" s="118">
        <v>211106</v>
      </c>
      <c r="G90" s="118">
        <v>211203</v>
      </c>
      <c r="H90" s="118">
        <v>211205</v>
      </c>
      <c r="I90" s="118">
        <v>211206</v>
      </c>
      <c r="J90" s="118">
        <v>211208</v>
      </c>
      <c r="K90" s="118">
        <v>211209</v>
      </c>
      <c r="L90" s="118">
        <v>211211</v>
      </c>
      <c r="M90" s="118">
        <v>211301</v>
      </c>
      <c r="N90" s="118">
        <v>211401</v>
      </c>
      <c r="O90" s="118">
        <v>211501</v>
      </c>
      <c r="P90" s="118">
        <v>211502</v>
      </c>
      <c r="Q90" s="118">
        <v>211503</v>
      </c>
      <c r="R90" s="118">
        <v>211504</v>
      </c>
      <c r="S90" s="118">
        <v>212101</v>
      </c>
      <c r="T90" s="118">
        <v>212201</v>
      </c>
      <c r="U90" s="118">
        <v>212203</v>
      </c>
      <c r="V90" s="118">
        <v>212204</v>
      </c>
      <c r="W90" s="118">
        <v>212205</v>
      </c>
      <c r="X90" s="118">
        <v>212206</v>
      </c>
      <c r="Y90" s="118">
        <v>212207</v>
      </c>
      <c r="Z90" s="118">
        <v>212208</v>
      </c>
      <c r="AA90" s="118">
        <v>212209</v>
      </c>
      <c r="AB90" s="118">
        <v>212210</v>
      </c>
      <c r="AC90" s="118">
        <v>213101</v>
      </c>
      <c r="AD90" s="118">
        <v>213102</v>
      </c>
      <c r="AE90" s="118">
        <v>213201</v>
      </c>
      <c r="AF90" s="118">
        <v>213202</v>
      </c>
      <c r="AG90" s="118">
        <v>214101</v>
      </c>
      <c r="AH90" s="118">
        <v>214201</v>
      </c>
      <c r="AI90" s="118">
        <v>214202</v>
      </c>
      <c r="AJ90" s="118">
        <v>214203</v>
      </c>
      <c r="AK90" s="118">
        <v>215101</v>
      </c>
      <c r="AL90" s="118">
        <v>215201</v>
      </c>
      <c r="AM90" s="118">
        <v>215301</v>
      </c>
      <c r="AN90" s="118">
        <v>215401</v>
      </c>
      <c r="AO90" s="118">
        <v>221101</v>
      </c>
      <c r="AP90" s="118">
        <v>221201</v>
      </c>
      <c r="AQ90" s="118">
        <v>221301</v>
      </c>
      <c r="AR90" s="118">
        <v>221401</v>
      </c>
      <c r="AS90" s="118">
        <v>221501</v>
      </c>
      <c r="AT90" s="118">
        <v>221601</v>
      </c>
      <c r="AU90" s="118">
        <v>221602</v>
      </c>
      <c r="AV90" s="118">
        <v>221701</v>
      </c>
      <c r="AW90" s="118">
        <v>221801</v>
      </c>
      <c r="AX90" s="118">
        <v>222101</v>
      </c>
      <c r="AY90" s="118">
        <v>222201</v>
      </c>
      <c r="AZ90" s="118">
        <v>223101</v>
      </c>
      <c r="BA90" s="118">
        <v>223201</v>
      </c>
      <c r="BB90" s="118">
        <v>224101</v>
      </c>
      <c r="BC90" s="118">
        <v>224201</v>
      </c>
      <c r="BD90" s="118">
        <v>224301</v>
      </c>
      <c r="BE90" s="118">
        <v>224401</v>
      </c>
      <c r="BF90" s="118">
        <v>225101</v>
      </c>
      <c r="BG90" s="118">
        <v>225201</v>
      </c>
      <c r="BH90" s="118">
        <v>225301</v>
      </c>
      <c r="BI90" s="118">
        <v>225302</v>
      </c>
      <c r="BJ90" s="118">
        <v>225303</v>
      </c>
      <c r="BK90" s="118">
        <v>225304</v>
      </c>
      <c r="BL90" s="118">
        <v>225305</v>
      </c>
      <c r="BM90" s="118">
        <v>225401</v>
      </c>
      <c r="BN90" s="118">
        <v>225501</v>
      </c>
      <c r="BO90" s="118">
        <v>225601</v>
      </c>
      <c r="BP90" s="118">
        <v>225701</v>
      </c>
      <c r="BQ90" s="118">
        <v>225801</v>
      </c>
      <c r="BR90" s="118">
        <v>225901</v>
      </c>
      <c r="BS90" s="118">
        <v>226101</v>
      </c>
      <c r="BT90" s="118">
        <v>226201</v>
      </c>
      <c r="BU90" s="118">
        <v>226301</v>
      </c>
      <c r="BV90" s="118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  <c r="CU90" s="118"/>
      <c r="CV90" s="118"/>
      <c r="CW90" s="118"/>
      <c r="CX90" s="118"/>
      <c r="CY90" s="118"/>
      <c r="CZ90" s="118"/>
      <c r="DA90" s="118"/>
      <c r="DB90" s="118"/>
      <c r="DC90" s="118"/>
      <c r="DD90" s="118"/>
      <c r="DE90" s="118"/>
      <c r="DF90" s="118"/>
      <c r="DG90" s="118"/>
      <c r="DH90" s="118"/>
      <c r="DI90" s="118"/>
      <c r="DJ90" s="118"/>
      <c r="DK90" s="118"/>
      <c r="DL90" s="118"/>
      <c r="DM90" s="118"/>
      <c r="DN90" s="118"/>
      <c r="DO90" s="118"/>
      <c r="DP90" s="118"/>
      <c r="DQ90" s="118"/>
      <c r="DR90" s="118"/>
      <c r="DS90" s="118"/>
      <c r="DT90" s="118"/>
      <c r="DU90" s="118"/>
      <c r="DV90" s="118"/>
      <c r="DW90" s="118"/>
      <c r="DX90" s="118"/>
      <c r="DY90" s="118"/>
      <c r="DZ90" s="118"/>
      <c r="EA90" s="118"/>
      <c r="EB90" s="118"/>
      <c r="EC90" s="118"/>
      <c r="ED90" s="118"/>
      <c r="EE90" s="118"/>
      <c r="EF90" s="118"/>
      <c r="EG90" s="118"/>
      <c r="EH90" s="118"/>
      <c r="EI90" s="118"/>
      <c r="EJ90" s="118"/>
      <c r="EK90" s="118"/>
      <c r="EL90" s="118"/>
      <c r="EM90" s="118"/>
      <c r="EN90" s="118"/>
      <c r="EO90" s="118"/>
      <c r="EP90" s="118"/>
      <c r="EQ90" s="118"/>
      <c r="ER90" s="118"/>
      <c r="ES90" s="118"/>
      <c r="ET90" s="118"/>
      <c r="EU90" s="118"/>
      <c r="EV90" s="118"/>
      <c r="EW90" s="118"/>
      <c r="EX90" s="118"/>
      <c r="EY90" s="118"/>
      <c r="EZ90" s="118"/>
      <c r="FA90" s="118"/>
      <c r="FB90" s="118"/>
      <c r="FC90" s="118"/>
      <c r="FD90" s="118"/>
      <c r="FE90" s="118"/>
      <c r="FF90" s="118"/>
      <c r="FG90" s="118"/>
      <c r="FH90" s="118"/>
      <c r="FI90" s="118"/>
      <c r="FJ90" s="118"/>
      <c r="FK90" s="118"/>
      <c r="FL90" s="118"/>
      <c r="FM90" s="118"/>
      <c r="FN90" s="118"/>
      <c r="FO90" s="118"/>
      <c r="FP90" s="118"/>
      <c r="FQ90" s="118"/>
      <c r="FR90" s="118"/>
      <c r="FS90" s="118"/>
      <c r="FT90" s="118"/>
      <c r="FU90" s="118"/>
      <c r="FV90" s="118"/>
      <c r="FW90" s="118"/>
      <c r="FX90" s="118"/>
      <c r="FY90" s="118"/>
      <c r="FZ90" s="118"/>
      <c r="GA90" s="118"/>
      <c r="GB90" s="118"/>
      <c r="GC90" s="118"/>
      <c r="GD90" s="118"/>
      <c r="GE90" s="118"/>
      <c r="GF90" s="118"/>
      <c r="GG90" s="118"/>
      <c r="GH90" s="118"/>
      <c r="GI90" s="118"/>
      <c r="GJ90" s="118"/>
      <c r="GK90" s="118"/>
      <c r="GL90" s="118"/>
      <c r="GM90" s="118"/>
      <c r="GN90" s="118"/>
      <c r="GO90" s="118"/>
      <c r="GP90" s="118"/>
      <c r="GQ90" s="118"/>
      <c r="GR90" s="118"/>
      <c r="GS90" s="118"/>
      <c r="GT90" s="118"/>
      <c r="GU90" s="118"/>
      <c r="GV90" s="118"/>
      <c r="GW90" s="118"/>
      <c r="GX90" s="118"/>
      <c r="GY90" s="118"/>
      <c r="GZ90" s="118"/>
      <c r="HA90" s="118"/>
      <c r="HB90" s="118"/>
      <c r="HC90" s="118"/>
      <c r="HD90" s="118"/>
      <c r="HE90" s="118"/>
      <c r="HF90" s="118"/>
      <c r="HG90" s="118"/>
      <c r="HH90" s="118"/>
      <c r="HI90" s="118"/>
      <c r="HJ90" s="118"/>
      <c r="HK90" s="118"/>
      <c r="HL90" s="118"/>
      <c r="HM90" s="118"/>
      <c r="HN90" s="118"/>
      <c r="HO90" s="118"/>
      <c r="HP90" s="118"/>
      <c r="HQ90" s="118"/>
      <c r="HR90" s="118"/>
      <c r="HS90" s="118"/>
      <c r="HT90" s="118"/>
      <c r="HU90" s="118"/>
      <c r="HV90" s="118"/>
      <c r="HW90" s="118"/>
      <c r="HX90" s="118"/>
      <c r="HY90" s="118"/>
      <c r="HZ90" s="118"/>
      <c r="IA90" s="118"/>
      <c r="IB90" s="118"/>
      <c r="IC90" s="118"/>
      <c r="ID90" s="118"/>
      <c r="IE90" s="118"/>
      <c r="IF90" s="118"/>
      <c r="IG90" s="118"/>
      <c r="IH90" s="118"/>
      <c r="II90" s="118"/>
      <c r="IJ90" s="118"/>
      <c r="IK90" s="118"/>
      <c r="IL90" s="118"/>
      <c r="IM90" s="118"/>
      <c r="IN90" s="118"/>
      <c r="IO90" s="118"/>
      <c r="IP90" s="118"/>
      <c r="IQ90" s="118"/>
      <c r="IR90" s="118"/>
      <c r="IS90" s="118"/>
      <c r="IT90" s="118"/>
      <c r="IU90" s="118"/>
      <c r="IV90" s="118"/>
      <c r="IW90" s="118"/>
      <c r="IX90" s="118"/>
      <c r="IY90" s="118"/>
      <c r="IZ90" s="118"/>
      <c r="JA90" s="118"/>
      <c r="JB90" s="118"/>
      <c r="JC90" s="118"/>
      <c r="JD90" s="118"/>
      <c r="JE90" s="118"/>
      <c r="JF90" s="118"/>
      <c r="JG90" s="118"/>
      <c r="JH90" s="118"/>
      <c r="JI90" s="120"/>
      <c r="JJ90" s="2"/>
      <c r="JK90" s="123"/>
    </row>
    <row r="91" spans="1:276" x14ac:dyDescent="0.25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  <c r="CD91" s="122"/>
      <c r="CE91" s="122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  <c r="GJ91" s="122"/>
      <c r="GK91" s="122"/>
      <c r="GL91" s="122"/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2"/>
      <c r="HO91" s="122"/>
      <c r="HP91" s="122"/>
      <c r="HQ91" s="122"/>
      <c r="HR91" s="122"/>
      <c r="HS91" s="122"/>
      <c r="HT91" s="122"/>
      <c r="HU91" s="122"/>
      <c r="HV91" s="122"/>
      <c r="HW91" s="122"/>
      <c r="HX91" s="122"/>
      <c r="HY91" s="122"/>
      <c r="HZ91" s="122"/>
      <c r="IA91" s="122"/>
      <c r="IB91" s="122"/>
      <c r="IC91" s="122"/>
      <c r="ID91" s="122"/>
      <c r="IE91" s="122"/>
      <c r="IF91" s="122"/>
      <c r="IG91" s="122"/>
      <c r="IH91" s="122"/>
      <c r="II91" s="122"/>
      <c r="IJ91" s="122"/>
      <c r="IK91" s="122"/>
      <c r="IL91" s="122"/>
      <c r="IM91" s="122"/>
      <c r="IN91" s="122"/>
      <c r="IO91" s="122"/>
      <c r="IP91" s="122"/>
      <c r="IQ91" s="122"/>
      <c r="IR91" s="122"/>
      <c r="IS91" s="122"/>
      <c r="IT91" s="122"/>
      <c r="IU91" s="122"/>
      <c r="IV91" s="122"/>
      <c r="IW91" s="122"/>
      <c r="IX91" s="122"/>
      <c r="IY91" s="122"/>
      <c r="IZ91" s="122"/>
      <c r="JA91" s="122"/>
      <c r="JB91" s="122"/>
      <c r="JC91" s="122"/>
      <c r="JD91" s="122"/>
      <c r="JE91" s="122"/>
      <c r="JF91" s="122"/>
      <c r="JG91" s="122"/>
      <c r="JH91" s="122"/>
      <c r="JI91" s="119">
        <f>SUM(A91:JH91)</f>
        <v>0</v>
      </c>
      <c r="JJ91" s="303"/>
      <c r="JK91" s="2"/>
    </row>
    <row r="92" spans="1:276" x14ac:dyDescent="0.25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  <c r="BU92" s="122"/>
      <c r="BV92" s="122"/>
      <c r="BW92" s="122"/>
      <c r="BX92" s="122"/>
      <c r="BY92" s="122"/>
      <c r="BZ92" s="122"/>
      <c r="CA92" s="122"/>
      <c r="CB92" s="122"/>
      <c r="CC92" s="122"/>
      <c r="CD92" s="122"/>
      <c r="CE92" s="122"/>
      <c r="CF92" s="122"/>
      <c r="CG92" s="122"/>
      <c r="CH92" s="122"/>
      <c r="CI92" s="122"/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  <c r="EM92" s="122"/>
      <c r="EN92" s="122"/>
      <c r="EO92" s="122"/>
      <c r="EP92" s="122"/>
      <c r="EQ92" s="122"/>
      <c r="ER92" s="122"/>
      <c r="ES92" s="122"/>
      <c r="ET92" s="122"/>
      <c r="EU92" s="122"/>
      <c r="EV92" s="122"/>
      <c r="EW92" s="122"/>
      <c r="EX92" s="122"/>
      <c r="EY92" s="122"/>
      <c r="EZ92" s="122"/>
      <c r="FA92" s="122"/>
      <c r="FB92" s="122"/>
      <c r="FC92" s="122"/>
      <c r="FD92" s="122"/>
      <c r="FE92" s="122"/>
      <c r="FF92" s="122"/>
      <c r="FG92" s="122"/>
      <c r="FH92" s="122"/>
      <c r="FI92" s="122"/>
      <c r="FJ92" s="122"/>
      <c r="FK92" s="122"/>
      <c r="FL92" s="122"/>
      <c r="FM92" s="122"/>
      <c r="FN92" s="122"/>
      <c r="FO92" s="122"/>
      <c r="FP92" s="122"/>
      <c r="FQ92" s="122"/>
      <c r="FR92" s="122"/>
      <c r="FS92" s="122"/>
      <c r="FT92" s="122"/>
      <c r="FU92" s="122"/>
      <c r="FV92" s="122"/>
      <c r="FW92" s="122"/>
      <c r="FX92" s="122"/>
      <c r="FY92" s="122"/>
      <c r="FZ92" s="122"/>
      <c r="GA92" s="122"/>
      <c r="GB92" s="122"/>
      <c r="GC92" s="122"/>
      <c r="GD92" s="122"/>
      <c r="GE92" s="122"/>
      <c r="GF92" s="122"/>
      <c r="GG92" s="122"/>
      <c r="GH92" s="122"/>
      <c r="GI92" s="122"/>
      <c r="GJ92" s="122"/>
      <c r="GK92" s="122"/>
      <c r="GL92" s="122"/>
      <c r="GM92" s="122"/>
      <c r="GN92" s="122"/>
      <c r="GO92" s="122"/>
      <c r="GP92" s="122"/>
      <c r="GQ92" s="122"/>
      <c r="GR92" s="122"/>
      <c r="GS92" s="122"/>
      <c r="GT92" s="122"/>
      <c r="GU92" s="122"/>
      <c r="GV92" s="122"/>
      <c r="GW92" s="122"/>
      <c r="GX92" s="122"/>
      <c r="GY92" s="122"/>
      <c r="GZ92" s="122"/>
      <c r="HA92" s="122"/>
      <c r="HB92" s="122"/>
      <c r="HC92" s="122"/>
      <c r="HD92" s="122"/>
      <c r="HE92" s="122"/>
      <c r="HF92" s="122"/>
      <c r="HG92" s="122"/>
      <c r="HH92" s="122"/>
      <c r="HI92" s="122"/>
      <c r="HJ92" s="122"/>
      <c r="HK92" s="122"/>
      <c r="HL92" s="122"/>
      <c r="HM92" s="122"/>
      <c r="HN92" s="122"/>
      <c r="HO92" s="122"/>
      <c r="HP92" s="122"/>
      <c r="HQ92" s="122"/>
      <c r="HR92" s="122"/>
      <c r="HS92" s="122"/>
      <c r="HT92" s="122"/>
      <c r="HU92" s="122"/>
      <c r="HV92" s="122"/>
      <c r="HW92" s="122"/>
      <c r="HX92" s="122"/>
      <c r="HY92" s="122"/>
      <c r="HZ92" s="122"/>
      <c r="IA92" s="122"/>
      <c r="IB92" s="122"/>
      <c r="IC92" s="122"/>
      <c r="ID92" s="122"/>
      <c r="IE92" s="122"/>
      <c r="IF92" s="122"/>
      <c r="IG92" s="122"/>
      <c r="IH92" s="122"/>
      <c r="II92" s="122"/>
      <c r="IJ92" s="122"/>
      <c r="IK92" s="122"/>
      <c r="IL92" s="122"/>
      <c r="IM92" s="122"/>
      <c r="IN92" s="122"/>
      <c r="IO92" s="122"/>
      <c r="IP92" s="122"/>
      <c r="IQ92" s="122"/>
      <c r="IR92" s="122"/>
      <c r="IS92" s="122"/>
      <c r="IT92" s="122"/>
      <c r="IU92" s="122"/>
      <c r="IV92" s="122"/>
      <c r="IW92" s="122"/>
      <c r="IX92" s="122"/>
      <c r="IY92" s="122"/>
      <c r="IZ92" s="122"/>
      <c r="JA92" s="122"/>
      <c r="JB92" s="122"/>
      <c r="JC92" s="122"/>
      <c r="JD92" s="122"/>
      <c r="JE92" s="122"/>
      <c r="JF92" s="122"/>
      <c r="JG92" s="122"/>
      <c r="JH92" s="122"/>
      <c r="JI92" s="119">
        <f t="shared" ref="JI92:JI104" si="9">SUM(A92:JH92)</f>
        <v>0</v>
      </c>
      <c r="JJ92" s="2"/>
      <c r="JK92" s="2"/>
    </row>
    <row r="93" spans="1:276" x14ac:dyDescent="0.25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  <c r="BS93" s="122"/>
      <c r="BT93" s="122"/>
      <c r="BU93" s="122"/>
      <c r="BV93" s="122"/>
      <c r="BW93" s="122"/>
      <c r="BX93" s="122"/>
      <c r="BY93" s="122"/>
      <c r="BZ93" s="122"/>
      <c r="CA93" s="122"/>
      <c r="CB93" s="122"/>
      <c r="CC93" s="122"/>
      <c r="CD93" s="122"/>
      <c r="CE93" s="122"/>
      <c r="CF93" s="122"/>
      <c r="CG93" s="122"/>
      <c r="CH93" s="122"/>
      <c r="CI93" s="122"/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  <c r="CW93" s="122"/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/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22"/>
      <c r="FD93" s="122"/>
      <c r="FE93" s="122"/>
      <c r="FF93" s="122"/>
      <c r="FG93" s="122"/>
      <c r="FH93" s="122"/>
      <c r="FI93" s="122"/>
      <c r="FJ93" s="122"/>
      <c r="FK93" s="122"/>
      <c r="FL93" s="122"/>
      <c r="FM93" s="122"/>
      <c r="FN93" s="122"/>
      <c r="FO93" s="122"/>
      <c r="FP93" s="122"/>
      <c r="FQ93" s="122"/>
      <c r="FR93" s="122"/>
      <c r="FS93" s="122"/>
      <c r="FT93" s="122"/>
      <c r="FU93" s="122"/>
      <c r="FV93" s="122"/>
      <c r="FW93" s="122"/>
      <c r="FX93" s="122"/>
      <c r="FY93" s="122"/>
      <c r="FZ93" s="122"/>
      <c r="GA93" s="122"/>
      <c r="GB93" s="122"/>
      <c r="GC93" s="122"/>
      <c r="GD93" s="122"/>
      <c r="GE93" s="122"/>
      <c r="GF93" s="122"/>
      <c r="GG93" s="122"/>
      <c r="GH93" s="122"/>
      <c r="GI93" s="122"/>
      <c r="GJ93" s="122"/>
      <c r="GK93" s="122"/>
      <c r="GL93" s="122"/>
      <c r="GM93" s="122"/>
      <c r="GN93" s="122"/>
      <c r="GO93" s="122"/>
      <c r="GP93" s="122"/>
      <c r="GQ93" s="122"/>
      <c r="GR93" s="122"/>
      <c r="GS93" s="122"/>
      <c r="GT93" s="122"/>
      <c r="GU93" s="122"/>
      <c r="GV93" s="122"/>
      <c r="GW93" s="122"/>
      <c r="GX93" s="122"/>
      <c r="GY93" s="122"/>
      <c r="GZ93" s="122"/>
      <c r="HA93" s="122"/>
      <c r="HB93" s="122"/>
      <c r="HC93" s="122"/>
      <c r="HD93" s="122"/>
      <c r="HE93" s="122"/>
      <c r="HF93" s="122"/>
      <c r="HG93" s="122"/>
      <c r="HH93" s="122"/>
      <c r="HI93" s="122"/>
      <c r="HJ93" s="122"/>
      <c r="HK93" s="122"/>
      <c r="HL93" s="122"/>
      <c r="HM93" s="122"/>
      <c r="HN93" s="122"/>
      <c r="HO93" s="122"/>
      <c r="HP93" s="122"/>
      <c r="HQ93" s="122"/>
      <c r="HR93" s="122"/>
      <c r="HS93" s="122"/>
      <c r="HT93" s="122"/>
      <c r="HU93" s="122"/>
      <c r="HV93" s="122"/>
      <c r="HW93" s="122"/>
      <c r="HX93" s="122"/>
      <c r="HY93" s="122"/>
      <c r="HZ93" s="122"/>
      <c r="IA93" s="122"/>
      <c r="IB93" s="122"/>
      <c r="IC93" s="122"/>
      <c r="ID93" s="122"/>
      <c r="IE93" s="122"/>
      <c r="IF93" s="122"/>
      <c r="IG93" s="122"/>
      <c r="IH93" s="122"/>
      <c r="II93" s="122"/>
      <c r="IJ93" s="122"/>
      <c r="IK93" s="122"/>
      <c r="IL93" s="122"/>
      <c r="IM93" s="122"/>
      <c r="IN93" s="122"/>
      <c r="IO93" s="122"/>
      <c r="IP93" s="122"/>
      <c r="IQ93" s="122"/>
      <c r="IR93" s="122"/>
      <c r="IS93" s="122"/>
      <c r="IT93" s="122"/>
      <c r="IU93" s="122"/>
      <c r="IV93" s="122"/>
      <c r="IW93" s="122"/>
      <c r="IX93" s="122"/>
      <c r="IY93" s="122"/>
      <c r="IZ93" s="122"/>
      <c r="JA93" s="122"/>
      <c r="JB93" s="122"/>
      <c r="JC93" s="122"/>
      <c r="JD93" s="122"/>
      <c r="JE93" s="122"/>
      <c r="JF93" s="122"/>
      <c r="JG93" s="122"/>
      <c r="JH93" s="122"/>
      <c r="JI93" s="119">
        <f t="shared" si="9"/>
        <v>0</v>
      </c>
      <c r="JJ93" s="2"/>
      <c r="JK93" s="2"/>
    </row>
    <row r="94" spans="1:276" x14ac:dyDescent="0.25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  <c r="BS94" s="122"/>
      <c r="BT94" s="122"/>
      <c r="BU94" s="122"/>
      <c r="BV94" s="122"/>
      <c r="BW94" s="122"/>
      <c r="BX94" s="122"/>
      <c r="BY94" s="122"/>
      <c r="BZ94" s="122"/>
      <c r="CA94" s="122"/>
      <c r="CB94" s="122"/>
      <c r="CC94" s="122"/>
      <c r="CD94" s="122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/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22"/>
      <c r="FD94" s="122"/>
      <c r="FE94" s="122"/>
      <c r="FF94" s="122"/>
      <c r="FG94" s="122"/>
      <c r="FH94" s="122"/>
      <c r="FI94" s="122"/>
      <c r="FJ94" s="122"/>
      <c r="FK94" s="122"/>
      <c r="FL94" s="122"/>
      <c r="FM94" s="122"/>
      <c r="FN94" s="122"/>
      <c r="FO94" s="122"/>
      <c r="FP94" s="122"/>
      <c r="FQ94" s="122"/>
      <c r="FR94" s="122"/>
      <c r="FS94" s="122"/>
      <c r="FT94" s="122"/>
      <c r="FU94" s="122"/>
      <c r="FV94" s="122"/>
      <c r="FW94" s="122"/>
      <c r="FX94" s="122"/>
      <c r="FY94" s="122"/>
      <c r="FZ94" s="122"/>
      <c r="GA94" s="122"/>
      <c r="GB94" s="122"/>
      <c r="GC94" s="122"/>
      <c r="GD94" s="122"/>
      <c r="GE94" s="122"/>
      <c r="GF94" s="122"/>
      <c r="GG94" s="122"/>
      <c r="GH94" s="122"/>
      <c r="GI94" s="122"/>
      <c r="GJ94" s="122"/>
      <c r="GK94" s="122"/>
      <c r="GL94" s="122"/>
      <c r="GM94" s="122"/>
      <c r="GN94" s="122"/>
      <c r="GO94" s="122"/>
      <c r="GP94" s="122"/>
      <c r="GQ94" s="122"/>
      <c r="GR94" s="122"/>
      <c r="GS94" s="122"/>
      <c r="GT94" s="122"/>
      <c r="GU94" s="122"/>
      <c r="GV94" s="122"/>
      <c r="GW94" s="122"/>
      <c r="GX94" s="122"/>
      <c r="GY94" s="122"/>
      <c r="GZ94" s="122"/>
      <c r="HA94" s="122"/>
      <c r="HB94" s="122"/>
      <c r="HC94" s="122"/>
      <c r="HD94" s="122"/>
      <c r="HE94" s="122"/>
      <c r="HF94" s="122"/>
      <c r="HG94" s="122"/>
      <c r="HH94" s="122"/>
      <c r="HI94" s="122"/>
      <c r="HJ94" s="122"/>
      <c r="HK94" s="122"/>
      <c r="HL94" s="122"/>
      <c r="HM94" s="122"/>
      <c r="HN94" s="122"/>
      <c r="HO94" s="122"/>
      <c r="HP94" s="122"/>
      <c r="HQ94" s="122"/>
      <c r="HR94" s="122"/>
      <c r="HS94" s="122"/>
      <c r="HT94" s="122"/>
      <c r="HU94" s="122"/>
      <c r="HV94" s="122"/>
      <c r="HW94" s="122"/>
      <c r="HX94" s="122"/>
      <c r="HY94" s="122"/>
      <c r="HZ94" s="122"/>
      <c r="IA94" s="122"/>
      <c r="IB94" s="122"/>
      <c r="IC94" s="122"/>
      <c r="ID94" s="122"/>
      <c r="IE94" s="122"/>
      <c r="IF94" s="122"/>
      <c r="IG94" s="122"/>
      <c r="IH94" s="122"/>
      <c r="II94" s="122"/>
      <c r="IJ94" s="122"/>
      <c r="IK94" s="122"/>
      <c r="IL94" s="122"/>
      <c r="IM94" s="122"/>
      <c r="IN94" s="122"/>
      <c r="IO94" s="122"/>
      <c r="IP94" s="122"/>
      <c r="IQ94" s="122"/>
      <c r="IR94" s="122"/>
      <c r="IS94" s="122"/>
      <c r="IT94" s="122"/>
      <c r="IU94" s="122"/>
      <c r="IV94" s="122"/>
      <c r="IW94" s="122"/>
      <c r="IX94" s="122"/>
      <c r="IY94" s="122"/>
      <c r="IZ94" s="122"/>
      <c r="JA94" s="122"/>
      <c r="JB94" s="122"/>
      <c r="JC94" s="122"/>
      <c r="JD94" s="122"/>
      <c r="JE94" s="122"/>
      <c r="JF94" s="122"/>
      <c r="JG94" s="122"/>
      <c r="JH94" s="122"/>
      <c r="JI94" s="119">
        <f t="shared" si="9"/>
        <v>0</v>
      </c>
      <c r="JJ94" s="2"/>
      <c r="JK94" s="2"/>
    </row>
    <row r="95" spans="1:276" x14ac:dyDescent="0.2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  <c r="BU95" s="122"/>
      <c r="BV95" s="122"/>
      <c r="BW95" s="122"/>
      <c r="BX95" s="122"/>
      <c r="BY95" s="122"/>
      <c r="BZ95" s="122"/>
      <c r="CA95" s="122"/>
      <c r="CB95" s="122"/>
      <c r="CC95" s="122"/>
      <c r="CD95" s="122"/>
      <c r="CE95" s="122"/>
      <c r="CF95" s="122"/>
      <c r="CG95" s="122"/>
      <c r="CH95" s="122"/>
      <c r="CI95" s="122"/>
      <c r="CJ95" s="122"/>
      <c r="CK95" s="122"/>
      <c r="CL95" s="122"/>
      <c r="CM95" s="122"/>
      <c r="CN95" s="122"/>
      <c r="CO95" s="122"/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  <c r="EE95" s="122"/>
      <c r="EF95" s="122"/>
      <c r="EG95" s="122"/>
      <c r="EH95" s="122"/>
      <c r="EI95" s="122"/>
      <c r="EJ95" s="122"/>
      <c r="EK95" s="122"/>
      <c r="EL95" s="122"/>
      <c r="EM95" s="122"/>
      <c r="EN95" s="122"/>
      <c r="EO95" s="122"/>
      <c r="EP95" s="122"/>
      <c r="EQ95" s="122"/>
      <c r="ER95" s="122"/>
      <c r="ES95" s="122"/>
      <c r="ET95" s="122"/>
      <c r="EU95" s="122"/>
      <c r="EV95" s="122"/>
      <c r="EW95" s="122"/>
      <c r="EX95" s="122"/>
      <c r="EY95" s="122"/>
      <c r="EZ95" s="122"/>
      <c r="FA95" s="122"/>
      <c r="FB95" s="122"/>
      <c r="FC95" s="122"/>
      <c r="FD95" s="122"/>
      <c r="FE95" s="122"/>
      <c r="FF95" s="122"/>
      <c r="FG95" s="122"/>
      <c r="FH95" s="122"/>
      <c r="FI95" s="122"/>
      <c r="FJ95" s="122"/>
      <c r="FK95" s="122"/>
      <c r="FL95" s="122"/>
      <c r="FM95" s="122"/>
      <c r="FN95" s="122"/>
      <c r="FO95" s="122"/>
      <c r="FP95" s="122"/>
      <c r="FQ95" s="122"/>
      <c r="FR95" s="122"/>
      <c r="FS95" s="122"/>
      <c r="FT95" s="122"/>
      <c r="FU95" s="122"/>
      <c r="FV95" s="122"/>
      <c r="FW95" s="122"/>
      <c r="FX95" s="122"/>
      <c r="FY95" s="122"/>
      <c r="FZ95" s="122"/>
      <c r="GA95" s="122"/>
      <c r="GB95" s="122"/>
      <c r="GC95" s="122"/>
      <c r="GD95" s="122"/>
      <c r="GE95" s="122"/>
      <c r="GF95" s="122"/>
      <c r="GG95" s="122"/>
      <c r="GH95" s="122"/>
      <c r="GI95" s="122"/>
      <c r="GJ95" s="122"/>
      <c r="GK95" s="122"/>
      <c r="GL95" s="122"/>
      <c r="GM95" s="122"/>
      <c r="GN95" s="122"/>
      <c r="GO95" s="122"/>
      <c r="GP95" s="122"/>
      <c r="GQ95" s="122"/>
      <c r="GR95" s="122"/>
      <c r="GS95" s="122"/>
      <c r="GT95" s="122"/>
      <c r="GU95" s="122"/>
      <c r="GV95" s="122"/>
      <c r="GW95" s="122"/>
      <c r="GX95" s="122"/>
      <c r="GY95" s="122"/>
      <c r="GZ95" s="122"/>
      <c r="HA95" s="122"/>
      <c r="HB95" s="122"/>
      <c r="HC95" s="122"/>
      <c r="HD95" s="122"/>
      <c r="HE95" s="122"/>
      <c r="HF95" s="122"/>
      <c r="HG95" s="122"/>
      <c r="HH95" s="122"/>
      <c r="HI95" s="122"/>
      <c r="HJ95" s="122"/>
      <c r="HK95" s="122"/>
      <c r="HL95" s="122"/>
      <c r="HM95" s="122"/>
      <c r="HN95" s="122"/>
      <c r="HO95" s="122"/>
      <c r="HP95" s="122"/>
      <c r="HQ95" s="122"/>
      <c r="HR95" s="122"/>
      <c r="HS95" s="122"/>
      <c r="HT95" s="122"/>
      <c r="HU95" s="122"/>
      <c r="HV95" s="122"/>
      <c r="HW95" s="122"/>
      <c r="HX95" s="122"/>
      <c r="HY95" s="122"/>
      <c r="HZ95" s="122"/>
      <c r="IA95" s="122"/>
      <c r="IB95" s="122"/>
      <c r="IC95" s="122"/>
      <c r="ID95" s="122"/>
      <c r="IE95" s="122"/>
      <c r="IF95" s="122"/>
      <c r="IG95" s="122"/>
      <c r="IH95" s="122"/>
      <c r="II95" s="122"/>
      <c r="IJ95" s="122"/>
      <c r="IK95" s="122"/>
      <c r="IL95" s="122"/>
      <c r="IM95" s="122"/>
      <c r="IN95" s="122"/>
      <c r="IO95" s="122"/>
      <c r="IP95" s="122"/>
      <c r="IQ95" s="122"/>
      <c r="IR95" s="122"/>
      <c r="IS95" s="122"/>
      <c r="IT95" s="122"/>
      <c r="IU95" s="122"/>
      <c r="IV95" s="122"/>
      <c r="IW95" s="122"/>
      <c r="IX95" s="122"/>
      <c r="IY95" s="122"/>
      <c r="IZ95" s="122"/>
      <c r="JA95" s="122"/>
      <c r="JB95" s="122"/>
      <c r="JC95" s="122"/>
      <c r="JD95" s="122"/>
      <c r="JE95" s="122"/>
      <c r="JF95" s="122"/>
      <c r="JG95" s="122"/>
      <c r="JH95" s="122"/>
      <c r="JI95" s="119">
        <f t="shared" si="9"/>
        <v>0</v>
      </c>
      <c r="JJ95" s="2"/>
      <c r="JK95" s="2"/>
    </row>
    <row r="96" spans="1:276" x14ac:dyDescent="0.25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22"/>
      <c r="BS96" s="122"/>
      <c r="BT96" s="122"/>
      <c r="BU96" s="122"/>
      <c r="BV96" s="122"/>
      <c r="BW96" s="122"/>
      <c r="BX96" s="122"/>
      <c r="BY96" s="122"/>
      <c r="BZ96" s="122"/>
      <c r="CA96" s="122"/>
      <c r="CB96" s="122"/>
      <c r="CC96" s="122"/>
      <c r="CD96" s="122"/>
      <c r="CE96" s="122"/>
      <c r="CF96" s="122"/>
      <c r="CG96" s="122"/>
      <c r="CH96" s="122"/>
      <c r="CI96" s="122"/>
      <c r="CJ96" s="122"/>
      <c r="CK96" s="122"/>
      <c r="CL96" s="122"/>
      <c r="CM96" s="122"/>
      <c r="CN96" s="122"/>
      <c r="CO96" s="122"/>
      <c r="CP96" s="122"/>
      <c r="CQ96" s="122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  <c r="DN96" s="122"/>
      <c r="DO96" s="122"/>
      <c r="DP96" s="122"/>
      <c r="DQ96" s="122"/>
      <c r="DR96" s="122"/>
      <c r="DS96" s="122"/>
      <c r="DT96" s="122"/>
      <c r="DU96" s="122"/>
      <c r="DV96" s="122"/>
      <c r="DW96" s="122"/>
      <c r="DX96" s="122"/>
      <c r="DY96" s="122"/>
      <c r="DZ96" s="122"/>
      <c r="EA96" s="122"/>
      <c r="EB96" s="122"/>
      <c r="EC96" s="122"/>
      <c r="ED96" s="122"/>
      <c r="EE96" s="122"/>
      <c r="EF96" s="122"/>
      <c r="EG96" s="122"/>
      <c r="EH96" s="122"/>
      <c r="EI96" s="122"/>
      <c r="EJ96" s="122"/>
      <c r="EK96" s="122"/>
      <c r="EL96" s="122"/>
      <c r="EM96" s="122"/>
      <c r="EN96" s="122"/>
      <c r="EO96" s="122"/>
      <c r="EP96" s="122"/>
      <c r="EQ96" s="122"/>
      <c r="ER96" s="122"/>
      <c r="ES96" s="122"/>
      <c r="ET96" s="122"/>
      <c r="EU96" s="122"/>
      <c r="EV96" s="122"/>
      <c r="EW96" s="122"/>
      <c r="EX96" s="122"/>
      <c r="EY96" s="122"/>
      <c r="EZ96" s="122"/>
      <c r="FA96" s="122"/>
      <c r="FB96" s="122"/>
      <c r="FC96" s="122"/>
      <c r="FD96" s="122"/>
      <c r="FE96" s="122"/>
      <c r="FF96" s="122"/>
      <c r="FG96" s="122"/>
      <c r="FH96" s="122"/>
      <c r="FI96" s="122"/>
      <c r="FJ96" s="122"/>
      <c r="FK96" s="122"/>
      <c r="FL96" s="122"/>
      <c r="FM96" s="122"/>
      <c r="FN96" s="122"/>
      <c r="FO96" s="122"/>
      <c r="FP96" s="122"/>
      <c r="FQ96" s="122"/>
      <c r="FR96" s="122"/>
      <c r="FS96" s="122"/>
      <c r="FT96" s="122"/>
      <c r="FU96" s="122"/>
      <c r="FV96" s="122"/>
      <c r="FW96" s="122"/>
      <c r="FX96" s="122"/>
      <c r="FY96" s="122"/>
      <c r="FZ96" s="122"/>
      <c r="GA96" s="122"/>
      <c r="GB96" s="122"/>
      <c r="GC96" s="122"/>
      <c r="GD96" s="122"/>
      <c r="GE96" s="122"/>
      <c r="GF96" s="122"/>
      <c r="GG96" s="122"/>
      <c r="GH96" s="122"/>
      <c r="GI96" s="122"/>
      <c r="GJ96" s="122"/>
      <c r="GK96" s="122"/>
      <c r="GL96" s="122"/>
      <c r="GM96" s="122"/>
      <c r="GN96" s="122"/>
      <c r="GO96" s="122"/>
      <c r="GP96" s="122"/>
      <c r="GQ96" s="122"/>
      <c r="GR96" s="122"/>
      <c r="GS96" s="122"/>
      <c r="GT96" s="122"/>
      <c r="GU96" s="122"/>
      <c r="GV96" s="122"/>
      <c r="GW96" s="122"/>
      <c r="GX96" s="122"/>
      <c r="GY96" s="122"/>
      <c r="GZ96" s="122"/>
      <c r="HA96" s="122"/>
      <c r="HB96" s="122"/>
      <c r="HC96" s="122"/>
      <c r="HD96" s="122"/>
      <c r="HE96" s="122"/>
      <c r="HF96" s="122"/>
      <c r="HG96" s="122"/>
      <c r="HH96" s="122"/>
      <c r="HI96" s="122"/>
      <c r="HJ96" s="122"/>
      <c r="HK96" s="122"/>
      <c r="HL96" s="122"/>
      <c r="HM96" s="122"/>
      <c r="HN96" s="122"/>
      <c r="HO96" s="122"/>
      <c r="HP96" s="122"/>
      <c r="HQ96" s="122"/>
      <c r="HR96" s="122"/>
      <c r="HS96" s="122"/>
      <c r="HT96" s="122"/>
      <c r="HU96" s="122"/>
      <c r="HV96" s="122"/>
      <c r="HW96" s="122"/>
      <c r="HX96" s="122"/>
      <c r="HY96" s="122"/>
      <c r="HZ96" s="122"/>
      <c r="IA96" s="122"/>
      <c r="IB96" s="122"/>
      <c r="IC96" s="122"/>
      <c r="ID96" s="122"/>
      <c r="IE96" s="122"/>
      <c r="IF96" s="122"/>
      <c r="IG96" s="122"/>
      <c r="IH96" s="122"/>
      <c r="II96" s="122"/>
      <c r="IJ96" s="122"/>
      <c r="IK96" s="122"/>
      <c r="IL96" s="122"/>
      <c r="IM96" s="122"/>
      <c r="IN96" s="122"/>
      <c r="IO96" s="122"/>
      <c r="IP96" s="122"/>
      <c r="IQ96" s="122"/>
      <c r="IR96" s="122"/>
      <c r="IS96" s="122"/>
      <c r="IT96" s="122"/>
      <c r="IU96" s="122"/>
      <c r="IV96" s="122"/>
      <c r="IW96" s="122"/>
      <c r="IX96" s="122"/>
      <c r="IY96" s="122"/>
      <c r="IZ96" s="122"/>
      <c r="JA96" s="122"/>
      <c r="JB96" s="122"/>
      <c r="JC96" s="122"/>
      <c r="JD96" s="122"/>
      <c r="JE96" s="122"/>
      <c r="JF96" s="122"/>
      <c r="JG96" s="122"/>
      <c r="JH96" s="122"/>
      <c r="JI96" s="119">
        <f t="shared" si="9"/>
        <v>0</v>
      </c>
      <c r="JJ96" s="2"/>
      <c r="JK96" s="2"/>
    </row>
    <row r="97" spans="1:271" x14ac:dyDescent="0.25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22"/>
      <c r="BS97" s="122"/>
      <c r="BT97" s="122"/>
      <c r="BU97" s="122"/>
      <c r="BV97" s="122"/>
      <c r="BW97" s="122"/>
      <c r="BX97" s="122"/>
      <c r="BY97" s="122"/>
      <c r="BZ97" s="122"/>
      <c r="CA97" s="122"/>
      <c r="CB97" s="122"/>
      <c r="CC97" s="122"/>
      <c r="CD97" s="122"/>
      <c r="CE97" s="122"/>
      <c r="CF97" s="122"/>
      <c r="CG97" s="122"/>
      <c r="CH97" s="122"/>
      <c r="CI97" s="122"/>
      <c r="CJ97" s="122"/>
      <c r="CK97" s="122"/>
      <c r="CL97" s="122"/>
      <c r="CM97" s="122"/>
      <c r="CN97" s="122"/>
      <c r="CO97" s="122"/>
      <c r="CP97" s="122"/>
      <c r="CQ97" s="122"/>
      <c r="CR97" s="122"/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  <c r="DN97" s="122"/>
      <c r="DO97" s="122"/>
      <c r="DP97" s="122"/>
      <c r="DQ97" s="122"/>
      <c r="DR97" s="122"/>
      <c r="DS97" s="122"/>
      <c r="DT97" s="122"/>
      <c r="DU97" s="122"/>
      <c r="DV97" s="122"/>
      <c r="DW97" s="122"/>
      <c r="DX97" s="122"/>
      <c r="DY97" s="122"/>
      <c r="DZ97" s="122"/>
      <c r="EA97" s="122"/>
      <c r="EB97" s="122"/>
      <c r="EC97" s="122"/>
      <c r="ED97" s="122"/>
      <c r="EE97" s="122"/>
      <c r="EF97" s="122"/>
      <c r="EG97" s="122"/>
      <c r="EH97" s="122"/>
      <c r="EI97" s="122"/>
      <c r="EJ97" s="122"/>
      <c r="EK97" s="122"/>
      <c r="EL97" s="122"/>
      <c r="EM97" s="122"/>
      <c r="EN97" s="122"/>
      <c r="EO97" s="122"/>
      <c r="EP97" s="122"/>
      <c r="EQ97" s="122"/>
      <c r="ER97" s="122"/>
      <c r="ES97" s="122"/>
      <c r="ET97" s="122"/>
      <c r="EU97" s="122"/>
      <c r="EV97" s="122"/>
      <c r="EW97" s="122"/>
      <c r="EX97" s="122"/>
      <c r="EY97" s="122"/>
      <c r="EZ97" s="122"/>
      <c r="FA97" s="122"/>
      <c r="FB97" s="122"/>
      <c r="FC97" s="122"/>
      <c r="FD97" s="122"/>
      <c r="FE97" s="122"/>
      <c r="FF97" s="122"/>
      <c r="FG97" s="122"/>
      <c r="FH97" s="122"/>
      <c r="FI97" s="122"/>
      <c r="FJ97" s="122"/>
      <c r="FK97" s="122"/>
      <c r="FL97" s="122"/>
      <c r="FM97" s="122"/>
      <c r="FN97" s="122"/>
      <c r="FO97" s="122"/>
      <c r="FP97" s="122"/>
      <c r="FQ97" s="122"/>
      <c r="FR97" s="122"/>
      <c r="FS97" s="122"/>
      <c r="FT97" s="122"/>
      <c r="FU97" s="122"/>
      <c r="FV97" s="122"/>
      <c r="FW97" s="122"/>
      <c r="FX97" s="122"/>
      <c r="FY97" s="122"/>
      <c r="FZ97" s="122"/>
      <c r="GA97" s="122"/>
      <c r="GB97" s="122"/>
      <c r="GC97" s="122"/>
      <c r="GD97" s="122"/>
      <c r="GE97" s="122"/>
      <c r="GF97" s="122"/>
      <c r="GG97" s="122"/>
      <c r="GH97" s="122"/>
      <c r="GI97" s="122"/>
      <c r="GJ97" s="122"/>
      <c r="GK97" s="122"/>
      <c r="GL97" s="122"/>
      <c r="GM97" s="122"/>
      <c r="GN97" s="122"/>
      <c r="GO97" s="122"/>
      <c r="GP97" s="122"/>
      <c r="GQ97" s="122"/>
      <c r="GR97" s="122"/>
      <c r="GS97" s="122"/>
      <c r="GT97" s="122"/>
      <c r="GU97" s="122"/>
      <c r="GV97" s="122"/>
      <c r="GW97" s="122"/>
      <c r="GX97" s="122"/>
      <c r="GY97" s="122"/>
      <c r="GZ97" s="122"/>
      <c r="HA97" s="122"/>
      <c r="HB97" s="122"/>
      <c r="HC97" s="122"/>
      <c r="HD97" s="122"/>
      <c r="HE97" s="122"/>
      <c r="HF97" s="122"/>
      <c r="HG97" s="122"/>
      <c r="HH97" s="122"/>
      <c r="HI97" s="122"/>
      <c r="HJ97" s="122"/>
      <c r="HK97" s="122"/>
      <c r="HL97" s="122"/>
      <c r="HM97" s="122"/>
      <c r="HN97" s="122"/>
      <c r="HO97" s="122"/>
      <c r="HP97" s="122"/>
      <c r="HQ97" s="122"/>
      <c r="HR97" s="122"/>
      <c r="HS97" s="122"/>
      <c r="HT97" s="122"/>
      <c r="HU97" s="122"/>
      <c r="HV97" s="122"/>
      <c r="HW97" s="122"/>
      <c r="HX97" s="122"/>
      <c r="HY97" s="122"/>
      <c r="HZ97" s="122"/>
      <c r="IA97" s="122"/>
      <c r="IB97" s="122"/>
      <c r="IC97" s="122"/>
      <c r="ID97" s="122"/>
      <c r="IE97" s="122"/>
      <c r="IF97" s="122"/>
      <c r="IG97" s="122"/>
      <c r="IH97" s="122"/>
      <c r="II97" s="122"/>
      <c r="IJ97" s="122"/>
      <c r="IK97" s="122"/>
      <c r="IL97" s="122"/>
      <c r="IM97" s="122"/>
      <c r="IN97" s="122"/>
      <c r="IO97" s="122"/>
      <c r="IP97" s="122"/>
      <c r="IQ97" s="122"/>
      <c r="IR97" s="122"/>
      <c r="IS97" s="122"/>
      <c r="IT97" s="122"/>
      <c r="IU97" s="122"/>
      <c r="IV97" s="122"/>
      <c r="IW97" s="122"/>
      <c r="IX97" s="122"/>
      <c r="IY97" s="122"/>
      <c r="IZ97" s="122"/>
      <c r="JA97" s="122"/>
      <c r="JB97" s="122"/>
      <c r="JC97" s="122"/>
      <c r="JD97" s="122"/>
      <c r="JE97" s="122"/>
      <c r="JF97" s="122"/>
      <c r="JG97" s="122"/>
      <c r="JH97" s="122"/>
      <c r="JI97" s="119">
        <f t="shared" si="9"/>
        <v>0</v>
      </c>
      <c r="JJ97" s="2"/>
      <c r="JK97" s="2"/>
    </row>
    <row r="98" spans="1:271" x14ac:dyDescent="0.25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22"/>
      <c r="BZ98" s="122"/>
      <c r="CA98" s="122"/>
      <c r="CB98" s="122"/>
      <c r="CC98" s="122"/>
      <c r="CD98" s="122"/>
      <c r="CE98" s="122"/>
      <c r="CF98" s="122"/>
      <c r="CG98" s="122"/>
      <c r="CH98" s="122"/>
      <c r="CI98" s="122"/>
      <c r="CJ98" s="122"/>
      <c r="CK98" s="122"/>
      <c r="CL98" s="122"/>
      <c r="CM98" s="122"/>
      <c r="CN98" s="122"/>
      <c r="CO98" s="122"/>
      <c r="CP98" s="122"/>
      <c r="CQ98" s="122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  <c r="DW98" s="122"/>
      <c r="DX98" s="122"/>
      <c r="DY98" s="122"/>
      <c r="DZ98" s="122"/>
      <c r="EA98" s="122"/>
      <c r="EB98" s="122"/>
      <c r="EC98" s="122"/>
      <c r="ED98" s="122"/>
      <c r="EE98" s="122"/>
      <c r="EF98" s="122"/>
      <c r="EG98" s="122"/>
      <c r="EH98" s="122"/>
      <c r="EI98" s="122"/>
      <c r="EJ98" s="122"/>
      <c r="EK98" s="122"/>
      <c r="EL98" s="122"/>
      <c r="EM98" s="122"/>
      <c r="EN98" s="122"/>
      <c r="EO98" s="122"/>
      <c r="EP98" s="122"/>
      <c r="EQ98" s="122"/>
      <c r="ER98" s="122"/>
      <c r="ES98" s="122"/>
      <c r="ET98" s="122"/>
      <c r="EU98" s="122"/>
      <c r="EV98" s="122"/>
      <c r="EW98" s="122"/>
      <c r="EX98" s="122"/>
      <c r="EY98" s="122"/>
      <c r="EZ98" s="122"/>
      <c r="FA98" s="122"/>
      <c r="FB98" s="122"/>
      <c r="FC98" s="122"/>
      <c r="FD98" s="122"/>
      <c r="FE98" s="122"/>
      <c r="FF98" s="122"/>
      <c r="FG98" s="122"/>
      <c r="FH98" s="122"/>
      <c r="FI98" s="122"/>
      <c r="FJ98" s="122"/>
      <c r="FK98" s="122"/>
      <c r="FL98" s="122"/>
      <c r="FM98" s="122"/>
      <c r="FN98" s="122"/>
      <c r="FO98" s="122"/>
      <c r="FP98" s="122"/>
      <c r="FQ98" s="122"/>
      <c r="FR98" s="122"/>
      <c r="FS98" s="122"/>
      <c r="FT98" s="122"/>
      <c r="FU98" s="122"/>
      <c r="FV98" s="122"/>
      <c r="FW98" s="122"/>
      <c r="FX98" s="122"/>
      <c r="FY98" s="122"/>
      <c r="FZ98" s="122"/>
      <c r="GA98" s="122"/>
      <c r="GB98" s="122"/>
      <c r="GC98" s="122"/>
      <c r="GD98" s="122"/>
      <c r="GE98" s="122"/>
      <c r="GF98" s="122"/>
      <c r="GG98" s="122"/>
      <c r="GH98" s="122"/>
      <c r="GI98" s="122"/>
      <c r="GJ98" s="122"/>
      <c r="GK98" s="122"/>
      <c r="GL98" s="122"/>
      <c r="GM98" s="122"/>
      <c r="GN98" s="122"/>
      <c r="GO98" s="122"/>
      <c r="GP98" s="122"/>
      <c r="GQ98" s="122"/>
      <c r="GR98" s="122"/>
      <c r="GS98" s="122"/>
      <c r="GT98" s="122"/>
      <c r="GU98" s="122"/>
      <c r="GV98" s="122"/>
      <c r="GW98" s="122"/>
      <c r="GX98" s="122"/>
      <c r="GY98" s="122"/>
      <c r="GZ98" s="122"/>
      <c r="HA98" s="122"/>
      <c r="HB98" s="122"/>
      <c r="HC98" s="122"/>
      <c r="HD98" s="122"/>
      <c r="HE98" s="122"/>
      <c r="HF98" s="122"/>
      <c r="HG98" s="122"/>
      <c r="HH98" s="122"/>
      <c r="HI98" s="122"/>
      <c r="HJ98" s="122"/>
      <c r="HK98" s="122"/>
      <c r="HL98" s="122"/>
      <c r="HM98" s="122"/>
      <c r="HN98" s="122"/>
      <c r="HO98" s="122"/>
      <c r="HP98" s="122"/>
      <c r="HQ98" s="122"/>
      <c r="HR98" s="122"/>
      <c r="HS98" s="122"/>
      <c r="HT98" s="122"/>
      <c r="HU98" s="122"/>
      <c r="HV98" s="122"/>
      <c r="HW98" s="122"/>
      <c r="HX98" s="122"/>
      <c r="HY98" s="122"/>
      <c r="HZ98" s="122"/>
      <c r="IA98" s="122"/>
      <c r="IB98" s="122"/>
      <c r="IC98" s="122"/>
      <c r="ID98" s="122"/>
      <c r="IE98" s="122"/>
      <c r="IF98" s="122"/>
      <c r="IG98" s="122"/>
      <c r="IH98" s="122"/>
      <c r="II98" s="122"/>
      <c r="IJ98" s="122"/>
      <c r="IK98" s="122"/>
      <c r="IL98" s="122"/>
      <c r="IM98" s="122"/>
      <c r="IN98" s="122"/>
      <c r="IO98" s="122"/>
      <c r="IP98" s="122"/>
      <c r="IQ98" s="122"/>
      <c r="IR98" s="122"/>
      <c r="IS98" s="122"/>
      <c r="IT98" s="122"/>
      <c r="IU98" s="122"/>
      <c r="IV98" s="122"/>
      <c r="IW98" s="122"/>
      <c r="IX98" s="122"/>
      <c r="IY98" s="122"/>
      <c r="IZ98" s="122"/>
      <c r="JA98" s="122"/>
      <c r="JB98" s="122"/>
      <c r="JC98" s="122"/>
      <c r="JD98" s="122"/>
      <c r="JE98" s="122"/>
      <c r="JF98" s="122"/>
      <c r="JG98" s="122"/>
      <c r="JH98" s="122"/>
      <c r="JI98" s="119">
        <f t="shared" si="9"/>
        <v>0</v>
      </c>
      <c r="JJ98" s="2"/>
      <c r="JK98" s="2"/>
    </row>
    <row r="99" spans="1:271" x14ac:dyDescent="0.25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  <c r="AS99" s="122"/>
      <c r="AT99" s="122"/>
      <c r="AU99" s="122"/>
      <c r="AV99" s="122"/>
      <c r="AW99" s="122"/>
      <c r="AX99" s="122"/>
      <c r="AY99" s="122"/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  <c r="BQ99" s="122"/>
      <c r="BR99" s="122"/>
      <c r="BS99" s="122"/>
      <c r="BT99" s="122"/>
      <c r="BU99" s="122"/>
      <c r="BV99" s="122"/>
      <c r="BW99" s="122"/>
      <c r="BX99" s="122"/>
      <c r="BY99" s="122"/>
      <c r="BZ99" s="122"/>
      <c r="CA99" s="122"/>
      <c r="CB99" s="122"/>
      <c r="CC99" s="122"/>
      <c r="CD99" s="122"/>
      <c r="CE99" s="122"/>
      <c r="CF99" s="122"/>
      <c r="CG99" s="122"/>
      <c r="CH99" s="122"/>
      <c r="CI99" s="122"/>
      <c r="CJ99" s="122"/>
      <c r="CK99" s="122"/>
      <c r="CL99" s="122"/>
      <c r="CM99" s="122"/>
      <c r="CN99" s="122"/>
      <c r="CO99" s="122"/>
      <c r="CP99" s="122"/>
      <c r="CQ99" s="122"/>
      <c r="CR99" s="122"/>
      <c r="CS99" s="122"/>
      <c r="CT99" s="122"/>
      <c r="CU99" s="122"/>
      <c r="CV99" s="122"/>
      <c r="CW99" s="122"/>
      <c r="CX99" s="122"/>
      <c r="CY99" s="12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  <c r="DN99" s="122"/>
      <c r="DO99" s="122"/>
      <c r="DP99" s="122"/>
      <c r="DQ99" s="122"/>
      <c r="DR99" s="122"/>
      <c r="DS99" s="122"/>
      <c r="DT99" s="122"/>
      <c r="DU99" s="122"/>
      <c r="DV99" s="122"/>
      <c r="DW99" s="122"/>
      <c r="DX99" s="122"/>
      <c r="DY99" s="122"/>
      <c r="DZ99" s="122"/>
      <c r="EA99" s="122"/>
      <c r="EB99" s="122"/>
      <c r="EC99" s="122"/>
      <c r="ED99" s="122"/>
      <c r="EE99" s="122"/>
      <c r="EF99" s="122"/>
      <c r="EG99" s="122"/>
      <c r="EH99" s="122"/>
      <c r="EI99" s="122"/>
      <c r="EJ99" s="122"/>
      <c r="EK99" s="122"/>
      <c r="EL99" s="122"/>
      <c r="EM99" s="122"/>
      <c r="EN99" s="122"/>
      <c r="EO99" s="122"/>
      <c r="EP99" s="122"/>
      <c r="EQ99" s="122"/>
      <c r="ER99" s="122"/>
      <c r="ES99" s="122"/>
      <c r="ET99" s="122"/>
      <c r="EU99" s="122"/>
      <c r="EV99" s="122"/>
      <c r="EW99" s="122"/>
      <c r="EX99" s="122"/>
      <c r="EY99" s="122"/>
      <c r="EZ99" s="122"/>
      <c r="FA99" s="122"/>
      <c r="FB99" s="122"/>
      <c r="FC99" s="122"/>
      <c r="FD99" s="122"/>
      <c r="FE99" s="122"/>
      <c r="FF99" s="122"/>
      <c r="FG99" s="122"/>
      <c r="FH99" s="122"/>
      <c r="FI99" s="122"/>
      <c r="FJ99" s="122"/>
      <c r="FK99" s="122"/>
      <c r="FL99" s="122"/>
      <c r="FM99" s="122"/>
      <c r="FN99" s="122"/>
      <c r="FO99" s="122"/>
      <c r="FP99" s="122"/>
      <c r="FQ99" s="122"/>
      <c r="FR99" s="122"/>
      <c r="FS99" s="122"/>
      <c r="FT99" s="122"/>
      <c r="FU99" s="122"/>
      <c r="FV99" s="122"/>
      <c r="FW99" s="122"/>
      <c r="FX99" s="122"/>
      <c r="FY99" s="122"/>
      <c r="FZ99" s="122"/>
      <c r="GA99" s="122"/>
      <c r="GB99" s="122"/>
      <c r="GC99" s="122"/>
      <c r="GD99" s="122"/>
      <c r="GE99" s="122"/>
      <c r="GF99" s="122"/>
      <c r="GG99" s="122"/>
      <c r="GH99" s="122"/>
      <c r="GI99" s="122"/>
      <c r="GJ99" s="122"/>
      <c r="GK99" s="122"/>
      <c r="GL99" s="122"/>
      <c r="GM99" s="122"/>
      <c r="GN99" s="122"/>
      <c r="GO99" s="122"/>
      <c r="GP99" s="122"/>
      <c r="GQ99" s="122"/>
      <c r="GR99" s="122"/>
      <c r="GS99" s="122"/>
      <c r="GT99" s="122"/>
      <c r="GU99" s="122"/>
      <c r="GV99" s="122"/>
      <c r="GW99" s="122"/>
      <c r="GX99" s="122"/>
      <c r="GY99" s="122"/>
      <c r="GZ99" s="122"/>
      <c r="HA99" s="122"/>
      <c r="HB99" s="122"/>
      <c r="HC99" s="122"/>
      <c r="HD99" s="122"/>
      <c r="HE99" s="122"/>
      <c r="HF99" s="122"/>
      <c r="HG99" s="122"/>
      <c r="HH99" s="122"/>
      <c r="HI99" s="122"/>
      <c r="HJ99" s="122"/>
      <c r="HK99" s="122"/>
      <c r="HL99" s="122"/>
      <c r="HM99" s="122"/>
      <c r="HN99" s="122"/>
      <c r="HO99" s="122"/>
      <c r="HP99" s="122"/>
      <c r="HQ99" s="122"/>
      <c r="HR99" s="122"/>
      <c r="HS99" s="122"/>
      <c r="HT99" s="122"/>
      <c r="HU99" s="122"/>
      <c r="HV99" s="122"/>
      <c r="HW99" s="122"/>
      <c r="HX99" s="122"/>
      <c r="HY99" s="122"/>
      <c r="HZ99" s="122"/>
      <c r="IA99" s="122"/>
      <c r="IB99" s="122"/>
      <c r="IC99" s="122"/>
      <c r="ID99" s="122"/>
      <c r="IE99" s="122"/>
      <c r="IF99" s="122"/>
      <c r="IG99" s="122"/>
      <c r="IH99" s="122"/>
      <c r="II99" s="122"/>
      <c r="IJ99" s="122"/>
      <c r="IK99" s="122"/>
      <c r="IL99" s="122"/>
      <c r="IM99" s="122"/>
      <c r="IN99" s="122"/>
      <c r="IO99" s="122"/>
      <c r="IP99" s="122"/>
      <c r="IQ99" s="122"/>
      <c r="IR99" s="122"/>
      <c r="IS99" s="122"/>
      <c r="IT99" s="122"/>
      <c r="IU99" s="122"/>
      <c r="IV99" s="122"/>
      <c r="IW99" s="122"/>
      <c r="IX99" s="122"/>
      <c r="IY99" s="122"/>
      <c r="IZ99" s="122"/>
      <c r="JA99" s="122"/>
      <c r="JB99" s="122"/>
      <c r="JC99" s="122"/>
      <c r="JD99" s="122"/>
      <c r="JE99" s="122"/>
      <c r="JF99" s="122"/>
      <c r="JG99" s="122"/>
      <c r="JH99" s="122"/>
      <c r="JI99" s="119">
        <f t="shared" si="9"/>
        <v>0</v>
      </c>
      <c r="JJ99" s="2"/>
      <c r="JK99" s="2"/>
    </row>
    <row r="100" spans="1:271" x14ac:dyDescent="0.25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122"/>
      <c r="BQ100" s="122"/>
      <c r="BR100" s="122"/>
      <c r="BS100" s="122"/>
      <c r="BT100" s="122"/>
      <c r="BU100" s="122"/>
      <c r="BV100" s="122"/>
      <c r="BW100" s="122"/>
      <c r="BX100" s="122"/>
      <c r="BY100" s="122"/>
      <c r="BZ100" s="122"/>
      <c r="CA100" s="122"/>
      <c r="CB100" s="122"/>
      <c r="CC100" s="122"/>
      <c r="CD100" s="122"/>
      <c r="CE100" s="122"/>
      <c r="CF100" s="122"/>
      <c r="CG100" s="122"/>
      <c r="CH100" s="122"/>
      <c r="CI100" s="122"/>
      <c r="CJ100" s="122"/>
      <c r="CK100" s="122"/>
      <c r="CL100" s="122"/>
      <c r="CM100" s="122"/>
      <c r="CN100" s="122"/>
      <c r="CO100" s="122"/>
      <c r="CP100" s="122"/>
      <c r="CQ100" s="122"/>
      <c r="CR100" s="122"/>
      <c r="CS100" s="122"/>
      <c r="CT100" s="122"/>
      <c r="CU100" s="122"/>
      <c r="CV100" s="122"/>
      <c r="CW100" s="122"/>
      <c r="CX100" s="122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/>
      <c r="EB100" s="122"/>
      <c r="EC100" s="122"/>
      <c r="ED100" s="122"/>
      <c r="EE100" s="122"/>
      <c r="EF100" s="122"/>
      <c r="EG100" s="122"/>
      <c r="EH100" s="122"/>
      <c r="EI100" s="122"/>
      <c r="EJ100" s="122"/>
      <c r="EK100" s="122"/>
      <c r="EL100" s="122"/>
      <c r="EM100" s="122"/>
      <c r="EN100" s="122"/>
      <c r="EO100" s="122"/>
      <c r="EP100" s="122"/>
      <c r="EQ100" s="122"/>
      <c r="ER100" s="122"/>
      <c r="ES100" s="122"/>
      <c r="ET100" s="122"/>
      <c r="EU100" s="122"/>
      <c r="EV100" s="122"/>
      <c r="EW100" s="122"/>
      <c r="EX100" s="122"/>
      <c r="EY100" s="122"/>
      <c r="EZ100" s="122"/>
      <c r="FA100" s="122"/>
      <c r="FB100" s="122"/>
      <c r="FC100" s="122"/>
      <c r="FD100" s="122"/>
      <c r="FE100" s="122"/>
      <c r="FF100" s="122"/>
      <c r="FG100" s="122"/>
      <c r="FH100" s="122"/>
      <c r="FI100" s="122"/>
      <c r="FJ100" s="122"/>
      <c r="FK100" s="122"/>
      <c r="FL100" s="122"/>
      <c r="FM100" s="122"/>
      <c r="FN100" s="122"/>
      <c r="FO100" s="122"/>
      <c r="FP100" s="122"/>
      <c r="FQ100" s="122"/>
      <c r="FR100" s="122"/>
      <c r="FS100" s="122"/>
      <c r="FT100" s="122"/>
      <c r="FU100" s="122"/>
      <c r="FV100" s="122"/>
      <c r="FW100" s="122"/>
      <c r="FX100" s="122"/>
      <c r="FY100" s="122"/>
      <c r="FZ100" s="122"/>
      <c r="GA100" s="122"/>
      <c r="GB100" s="122"/>
      <c r="GC100" s="122"/>
      <c r="GD100" s="122"/>
      <c r="GE100" s="122"/>
      <c r="GF100" s="122"/>
      <c r="GG100" s="122"/>
      <c r="GH100" s="122"/>
      <c r="GI100" s="122"/>
      <c r="GJ100" s="122"/>
      <c r="GK100" s="122"/>
      <c r="GL100" s="122"/>
      <c r="GM100" s="122"/>
      <c r="GN100" s="122"/>
      <c r="GO100" s="122"/>
      <c r="GP100" s="122"/>
      <c r="GQ100" s="122"/>
      <c r="GR100" s="122"/>
      <c r="GS100" s="122"/>
      <c r="GT100" s="122"/>
      <c r="GU100" s="122"/>
      <c r="GV100" s="122"/>
      <c r="GW100" s="122"/>
      <c r="GX100" s="122"/>
      <c r="GY100" s="122"/>
      <c r="GZ100" s="122"/>
      <c r="HA100" s="122"/>
      <c r="HB100" s="122"/>
      <c r="HC100" s="122"/>
      <c r="HD100" s="122"/>
      <c r="HE100" s="122"/>
      <c r="HF100" s="122"/>
      <c r="HG100" s="122"/>
      <c r="HH100" s="122"/>
      <c r="HI100" s="122"/>
      <c r="HJ100" s="122"/>
      <c r="HK100" s="122"/>
      <c r="HL100" s="122"/>
      <c r="HM100" s="122"/>
      <c r="HN100" s="122"/>
      <c r="HO100" s="122"/>
      <c r="HP100" s="122"/>
      <c r="HQ100" s="122"/>
      <c r="HR100" s="122"/>
      <c r="HS100" s="122"/>
      <c r="HT100" s="122"/>
      <c r="HU100" s="122"/>
      <c r="HV100" s="122"/>
      <c r="HW100" s="122"/>
      <c r="HX100" s="122"/>
      <c r="HY100" s="122"/>
      <c r="HZ100" s="122"/>
      <c r="IA100" s="122"/>
      <c r="IB100" s="122"/>
      <c r="IC100" s="122"/>
      <c r="ID100" s="122"/>
      <c r="IE100" s="122"/>
      <c r="IF100" s="122"/>
      <c r="IG100" s="122"/>
      <c r="IH100" s="122"/>
      <c r="II100" s="122"/>
      <c r="IJ100" s="122"/>
      <c r="IK100" s="122"/>
      <c r="IL100" s="122"/>
      <c r="IM100" s="122"/>
      <c r="IN100" s="122"/>
      <c r="IO100" s="122"/>
      <c r="IP100" s="122"/>
      <c r="IQ100" s="122"/>
      <c r="IR100" s="122"/>
      <c r="IS100" s="122"/>
      <c r="IT100" s="122"/>
      <c r="IU100" s="122"/>
      <c r="IV100" s="122"/>
      <c r="IW100" s="122"/>
      <c r="IX100" s="122"/>
      <c r="IY100" s="122"/>
      <c r="IZ100" s="122"/>
      <c r="JA100" s="122"/>
      <c r="JB100" s="122"/>
      <c r="JC100" s="122"/>
      <c r="JD100" s="122"/>
      <c r="JE100" s="122"/>
      <c r="JF100" s="122"/>
      <c r="JG100" s="122"/>
      <c r="JH100" s="122"/>
      <c r="JI100" s="119">
        <f t="shared" si="9"/>
        <v>0</v>
      </c>
      <c r="JJ100" s="2"/>
      <c r="JK100" s="2"/>
    </row>
    <row r="101" spans="1:271" x14ac:dyDescent="0.25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22"/>
      <c r="CA101" s="122"/>
      <c r="CB101" s="122"/>
      <c r="CC101" s="122"/>
      <c r="CD101" s="122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22"/>
      <c r="FD101" s="122"/>
      <c r="FE101" s="122"/>
      <c r="FF101" s="122"/>
      <c r="FG101" s="122"/>
      <c r="FH101" s="122"/>
      <c r="FI101" s="122"/>
      <c r="FJ101" s="122"/>
      <c r="FK101" s="122"/>
      <c r="FL101" s="122"/>
      <c r="FM101" s="122"/>
      <c r="FN101" s="122"/>
      <c r="FO101" s="122"/>
      <c r="FP101" s="122"/>
      <c r="FQ101" s="122"/>
      <c r="FR101" s="122"/>
      <c r="FS101" s="122"/>
      <c r="FT101" s="122"/>
      <c r="FU101" s="122"/>
      <c r="FV101" s="122"/>
      <c r="FW101" s="122"/>
      <c r="FX101" s="122"/>
      <c r="FY101" s="122"/>
      <c r="FZ101" s="122"/>
      <c r="GA101" s="122"/>
      <c r="GB101" s="122"/>
      <c r="GC101" s="122"/>
      <c r="GD101" s="122"/>
      <c r="GE101" s="122"/>
      <c r="GF101" s="122"/>
      <c r="GG101" s="122"/>
      <c r="GH101" s="122"/>
      <c r="GI101" s="122"/>
      <c r="GJ101" s="122"/>
      <c r="GK101" s="122"/>
      <c r="GL101" s="122"/>
      <c r="GM101" s="122"/>
      <c r="GN101" s="122"/>
      <c r="GO101" s="122"/>
      <c r="GP101" s="122"/>
      <c r="GQ101" s="122"/>
      <c r="GR101" s="122"/>
      <c r="GS101" s="122"/>
      <c r="GT101" s="122"/>
      <c r="GU101" s="122"/>
      <c r="GV101" s="122"/>
      <c r="GW101" s="122"/>
      <c r="GX101" s="122"/>
      <c r="GY101" s="122"/>
      <c r="GZ101" s="122"/>
      <c r="HA101" s="122"/>
      <c r="HB101" s="122"/>
      <c r="HC101" s="122"/>
      <c r="HD101" s="122"/>
      <c r="HE101" s="122"/>
      <c r="HF101" s="122"/>
      <c r="HG101" s="122"/>
      <c r="HH101" s="122"/>
      <c r="HI101" s="122"/>
      <c r="HJ101" s="122"/>
      <c r="HK101" s="122"/>
      <c r="HL101" s="122"/>
      <c r="HM101" s="122"/>
      <c r="HN101" s="122"/>
      <c r="HO101" s="122"/>
      <c r="HP101" s="122"/>
      <c r="HQ101" s="122"/>
      <c r="HR101" s="122"/>
      <c r="HS101" s="122"/>
      <c r="HT101" s="122"/>
      <c r="HU101" s="122"/>
      <c r="HV101" s="122"/>
      <c r="HW101" s="122"/>
      <c r="HX101" s="122"/>
      <c r="HY101" s="122"/>
      <c r="HZ101" s="122"/>
      <c r="IA101" s="122"/>
      <c r="IB101" s="122"/>
      <c r="IC101" s="122"/>
      <c r="ID101" s="122"/>
      <c r="IE101" s="122"/>
      <c r="IF101" s="122"/>
      <c r="IG101" s="122"/>
      <c r="IH101" s="122"/>
      <c r="II101" s="122"/>
      <c r="IJ101" s="122"/>
      <c r="IK101" s="122"/>
      <c r="IL101" s="122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  <c r="IW101" s="122"/>
      <c r="IX101" s="122"/>
      <c r="IY101" s="122"/>
      <c r="IZ101" s="122"/>
      <c r="JA101" s="122"/>
      <c r="JB101" s="122"/>
      <c r="JC101" s="122"/>
      <c r="JD101" s="122"/>
      <c r="JE101" s="122"/>
      <c r="JF101" s="122"/>
      <c r="JG101" s="122"/>
      <c r="JH101" s="122"/>
      <c r="JI101" s="119">
        <f t="shared" si="9"/>
        <v>0</v>
      </c>
      <c r="JJ101" s="2"/>
      <c r="JK101" s="2"/>
    </row>
    <row r="102" spans="1:271" x14ac:dyDescent="0.25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22"/>
      <c r="CA102" s="122"/>
      <c r="CB102" s="122"/>
      <c r="CC102" s="122"/>
      <c r="CD102" s="122"/>
      <c r="CE102" s="122"/>
      <c r="CF102" s="122"/>
      <c r="CG102" s="122"/>
      <c r="CH102" s="122"/>
      <c r="CI102" s="122"/>
      <c r="CJ102" s="122"/>
      <c r="CK102" s="122"/>
      <c r="CL102" s="122"/>
      <c r="CM102" s="122"/>
      <c r="CN102" s="122"/>
      <c r="CO102" s="122"/>
      <c r="CP102" s="122"/>
      <c r="CQ102" s="122"/>
      <c r="CR102" s="122"/>
      <c r="CS102" s="122"/>
      <c r="CT102" s="122"/>
      <c r="CU102" s="122"/>
      <c r="CV102" s="122"/>
      <c r="CW102" s="122"/>
      <c r="CX102" s="122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/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22"/>
      <c r="FD102" s="122"/>
      <c r="FE102" s="122"/>
      <c r="FF102" s="122"/>
      <c r="FG102" s="122"/>
      <c r="FH102" s="122"/>
      <c r="FI102" s="122"/>
      <c r="FJ102" s="122"/>
      <c r="FK102" s="122"/>
      <c r="FL102" s="122"/>
      <c r="FM102" s="122"/>
      <c r="FN102" s="122"/>
      <c r="FO102" s="122"/>
      <c r="FP102" s="122"/>
      <c r="FQ102" s="122"/>
      <c r="FR102" s="122"/>
      <c r="FS102" s="122"/>
      <c r="FT102" s="122"/>
      <c r="FU102" s="122"/>
      <c r="FV102" s="122"/>
      <c r="FW102" s="122"/>
      <c r="FX102" s="122"/>
      <c r="FY102" s="122"/>
      <c r="FZ102" s="122"/>
      <c r="GA102" s="122"/>
      <c r="GB102" s="122"/>
      <c r="GC102" s="122"/>
      <c r="GD102" s="122"/>
      <c r="GE102" s="122"/>
      <c r="GF102" s="122"/>
      <c r="GG102" s="122"/>
      <c r="GH102" s="122"/>
      <c r="GI102" s="122"/>
      <c r="GJ102" s="122"/>
      <c r="GK102" s="122"/>
      <c r="GL102" s="122"/>
      <c r="GM102" s="122"/>
      <c r="GN102" s="122"/>
      <c r="GO102" s="122"/>
      <c r="GP102" s="122"/>
      <c r="GQ102" s="122"/>
      <c r="GR102" s="122"/>
      <c r="GS102" s="122"/>
      <c r="GT102" s="122"/>
      <c r="GU102" s="122"/>
      <c r="GV102" s="122"/>
      <c r="GW102" s="122"/>
      <c r="GX102" s="122"/>
      <c r="GY102" s="122"/>
      <c r="GZ102" s="122"/>
      <c r="HA102" s="122"/>
      <c r="HB102" s="122"/>
      <c r="HC102" s="122"/>
      <c r="HD102" s="122"/>
      <c r="HE102" s="122"/>
      <c r="HF102" s="122"/>
      <c r="HG102" s="122"/>
      <c r="HH102" s="122"/>
      <c r="HI102" s="122"/>
      <c r="HJ102" s="122"/>
      <c r="HK102" s="122"/>
      <c r="HL102" s="122"/>
      <c r="HM102" s="122"/>
      <c r="HN102" s="122"/>
      <c r="HO102" s="122"/>
      <c r="HP102" s="122"/>
      <c r="HQ102" s="122"/>
      <c r="HR102" s="122"/>
      <c r="HS102" s="122"/>
      <c r="HT102" s="122"/>
      <c r="HU102" s="122"/>
      <c r="HV102" s="122"/>
      <c r="HW102" s="122"/>
      <c r="HX102" s="122"/>
      <c r="HY102" s="122"/>
      <c r="HZ102" s="122"/>
      <c r="IA102" s="122"/>
      <c r="IB102" s="122"/>
      <c r="IC102" s="122"/>
      <c r="ID102" s="122"/>
      <c r="IE102" s="122"/>
      <c r="IF102" s="122"/>
      <c r="IG102" s="122"/>
      <c r="IH102" s="122"/>
      <c r="II102" s="122"/>
      <c r="IJ102" s="122"/>
      <c r="IK102" s="122"/>
      <c r="IL102" s="122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122"/>
      <c r="JB102" s="122"/>
      <c r="JC102" s="122"/>
      <c r="JD102" s="122"/>
      <c r="JE102" s="122"/>
      <c r="JF102" s="122"/>
      <c r="JG102" s="122"/>
      <c r="JH102" s="122"/>
      <c r="JI102" s="119">
        <f t="shared" si="9"/>
        <v>0</v>
      </c>
      <c r="JJ102" s="2"/>
      <c r="JK102" s="2"/>
    </row>
    <row r="103" spans="1:271" x14ac:dyDescent="0.25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22"/>
      <c r="CA103" s="122"/>
      <c r="CB103" s="122"/>
      <c r="CC103" s="122"/>
      <c r="CD103" s="122"/>
      <c r="CE103" s="122"/>
      <c r="CF103" s="122"/>
      <c r="CG103" s="122"/>
      <c r="CH103" s="122"/>
      <c r="CI103" s="122"/>
      <c r="CJ103" s="122"/>
      <c r="CK103" s="122"/>
      <c r="CL103" s="122"/>
      <c r="CM103" s="122"/>
      <c r="CN103" s="122"/>
      <c r="CO103" s="122"/>
      <c r="CP103" s="122"/>
      <c r="CQ103" s="122"/>
      <c r="CR103" s="122"/>
      <c r="CS103" s="122"/>
      <c r="CT103" s="122"/>
      <c r="CU103" s="122"/>
      <c r="CV103" s="122"/>
      <c r="CW103" s="122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/>
      <c r="FR103" s="122"/>
      <c r="FS103" s="122"/>
      <c r="FT103" s="122"/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  <c r="GJ103" s="122"/>
      <c r="GK103" s="122"/>
      <c r="GL103" s="122"/>
      <c r="GM103" s="122"/>
      <c r="GN103" s="122"/>
      <c r="GO103" s="122"/>
      <c r="GP103" s="122"/>
      <c r="GQ103" s="122"/>
      <c r="GR103" s="122"/>
      <c r="GS103" s="122"/>
      <c r="GT103" s="122"/>
      <c r="GU103" s="122"/>
      <c r="GV103" s="122"/>
      <c r="GW103" s="122"/>
      <c r="GX103" s="122"/>
      <c r="GY103" s="122"/>
      <c r="GZ103" s="122"/>
      <c r="HA103" s="122"/>
      <c r="HB103" s="122"/>
      <c r="HC103" s="122"/>
      <c r="HD103" s="122"/>
      <c r="HE103" s="122"/>
      <c r="HF103" s="122"/>
      <c r="HG103" s="122"/>
      <c r="HH103" s="122"/>
      <c r="HI103" s="122"/>
      <c r="HJ103" s="122"/>
      <c r="HK103" s="122"/>
      <c r="HL103" s="122"/>
      <c r="HM103" s="122"/>
      <c r="HN103" s="122"/>
      <c r="HO103" s="122"/>
      <c r="HP103" s="122"/>
      <c r="HQ103" s="122"/>
      <c r="HR103" s="122"/>
      <c r="HS103" s="122"/>
      <c r="HT103" s="122"/>
      <c r="HU103" s="122"/>
      <c r="HV103" s="122"/>
      <c r="HW103" s="122"/>
      <c r="HX103" s="122"/>
      <c r="HY103" s="122"/>
      <c r="HZ103" s="122"/>
      <c r="IA103" s="122"/>
      <c r="IB103" s="122"/>
      <c r="IC103" s="122"/>
      <c r="ID103" s="122"/>
      <c r="IE103" s="122"/>
      <c r="IF103" s="122"/>
      <c r="IG103" s="122"/>
      <c r="IH103" s="122"/>
      <c r="II103" s="122"/>
      <c r="IJ103" s="122"/>
      <c r="IK103" s="122"/>
      <c r="IL103" s="122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122"/>
      <c r="JB103" s="122"/>
      <c r="JC103" s="122"/>
      <c r="JD103" s="122"/>
      <c r="JE103" s="122"/>
      <c r="JF103" s="122"/>
      <c r="JG103" s="122"/>
      <c r="JH103" s="122"/>
      <c r="JI103" s="119">
        <f t="shared" si="9"/>
        <v>0</v>
      </c>
      <c r="JJ103" s="2"/>
      <c r="JK103" s="2"/>
    </row>
    <row r="104" spans="1:271" x14ac:dyDescent="0.25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22"/>
      <c r="CA104" s="122"/>
      <c r="CB104" s="122"/>
      <c r="CC104" s="122"/>
      <c r="CD104" s="122"/>
      <c r="CE104" s="122"/>
      <c r="CF104" s="122"/>
      <c r="CG104" s="122"/>
      <c r="CH104" s="122"/>
      <c r="CI104" s="122"/>
      <c r="CJ104" s="122"/>
      <c r="CK104" s="122"/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/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22"/>
      <c r="FD104" s="122"/>
      <c r="FE104" s="122"/>
      <c r="FF104" s="122"/>
      <c r="FG104" s="122"/>
      <c r="FH104" s="122"/>
      <c r="FI104" s="122"/>
      <c r="FJ104" s="122"/>
      <c r="FK104" s="122"/>
      <c r="FL104" s="122"/>
      <c r="FM104" s="122"/>
      <c r="FN104" s="122"/>
      <c r="FO104" s="122"/>
      <c r="FP104" s="122"/>
      <c r="FQ104" s="122"/>
      <c r="FR104" s="122"/>
      <c r="FS104" s="122"/>
      <c r="FT104" s="122"/>
      <c r="FU104" s="122"/>
      <c r="FV104" s="122"/>
      <c r="FW104" s="122"/>
      <c r="FX104" s="122"/>
      <c r="FY104" s="122"/>
      <c r="FZ104" s="122"/>
      <c r="GA104" s="122"/>
      <c r="GB104" s="122"/>
      <c r="GC104" s="122"/>
      <c r="GD104" s="122"/>
      <c r="GE104" s="122"/>
      <c r="GF104" s="122"/>
      <c r="GG104" s="122"/>
      <c r="GH104" s="122"/>
      <c r="GI104" s="122"/>
      <c r="GJ104" s="122"/>
      <c r="GK104" s="122"/>
      <c r="GL104" s="122"/>
      <c r="GM104" s="122"/>
      <c r="GN104" s="122"/>
      <c r="GO104" s="122"/>
      <c r="GP104" s="122"/>
      <c r="GQ104" s="122"/>
      <c r="GR104" s="122"/>
      <c r="GS104" s="122"/>
      <c r="GT104" s="122"/>
      <c r="GU104" s="122"/>
      <c r="GV104" s="122"/>
      <c r="GW104" s="122"/>
      <c r="GX104" s="122"/>
      <c r="GY104" s="122"/>
      <c r="GZ104" s="122"/>
      <c r="HA104" s="122"/>
      <c r="HB104" s="122"/>
      <c r="HC104" s="122"/>
      <c r="HD104" s="122"/>
      <c r="HE104" s="122"/>
      <c r="HF104" s="122"/>
      <c r="HG104" s="122"/>
      <c r="HH104" s="122"/>
      <c r="HI104" s="122"/>
      <c r="HJ104" s="122"/>
      <c r="HK104" s="122"/>
      <c r="HL104" s="122"/>
      <c r="HM104" s="122"/>
      <c r="HN104" s="122"/>
      <c r="HO104" s="122"/>
      <c r="HP104" s="122"/>
      <c r="HQ104" s="122"/>
      <c r="HR104" s="122"/>
      <c r="HS104" s="122"/>
      <c r="HT104" s="122"/>
      <c r="HU104" s="122"/>
      <c r="HV104" s="122"/>
      <c r="HW104" s="122"/>
      <c r="HX104" s="122"/>
      <c r="HY104" s="122"/>
      <c r="HZ104" s="122"/>
      <c r="IA104" s="122"/>
      <c r="IB104" s="122"/>
      <c r="IC104" s="122"/>
      <c r="ID104" s="122"/>
      <c r="IE104" s="122"/>
      <c r="IF104" s="122"/>
      <c r="IG104" s="122"/>
      <c r="IH104" s="122"/>
      <c r="II104" s="122"/>
      <c r="IJ104" s="122"/>
      <c r="IK104" s="122"/>
      <c r="IL104" s="122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122"/>
      <c r="JB104" s="122"/>
      <c r="JC104" s="122"/>
      <c r="JD104" s="122"/>
      <c r="JE104" s="122"/>
      <c r="JF104" s="122"/>
      <c r="JG104" s="122"/>
      <c r="JH104" s="122"/>
      <c r="JI104" s="119">
        <f t="shared" si="9"/>
        <v>0</v>
      </c>
      <c r="JJ104" s="2"/>
      <c r="JK104" s="2"/>
    </row>
    <row r="105" spans="1:271" x14ac:dyDescent="0.25">
      <c r="A105" s="119">
        <f>SUM(A91:A104)</f>
        <v>0</v>
      </c>
      <c r="B105" s="119">
        <f t="shared" ref="B105:BM105" si="10">SUM(B91:B104)</f>
        <v>0</v>
      </c>
      <c r="C105" s="119">
        <f t="shared" si="10"/>
        <v>0</v>
      </c>
      <c r="D105" s="119">
        <f t="shared" si="10"/>
        <v>0</v>
      </c>
      <c r="E105" s="119">
        <f t="shared" si="10"/>
        <v>0</v>
      </c>
      <c r="F105" s="119">
        <f t="shared" si="10"/>
        <v>0</v>
      </c>
      <c r="G105" s="119">
        <f t="shared" si="10"/>
        <v>0</v>
      </c>
      <c r="H105" s="119">
        <f t="shared" si="10"/>
        <v>0</v>
      </c>
      <c r="I105" s="119">
        <f t="shared" si="10"/>
        <v>0</v>
      </c>
      <c r="J105" s="119">
        <f t="shared" si="10"/>
        <v>0</v>
      </c>
      <c r="K105" s="119">
        <f t="shared" si="10"/>
        <v>0</v>
      </c>
      <c r="L105" s="119">
        <f t="shared" si="10"/>
        <v>0</v>
      </c>
      <c r="M105" s="119">
        <f t="shared" si="10"/>
        <v>0</v>
      </c>
      <c r="N105" s="119">
        <f t="shared" si="10"/>
        <v>0</v>
      </c>
      <c r="O105" s="119">
        <f t="shared" si="10"/>
        <v>0</v>
      </c>
      <c r="P105" s="119">
        <f t="shared" si="10"/>
        <v>0</v>
      </c>
      <c r="Q105" s="119">
        <f t="shared" si="10"/>
        <v>0</v>
      </c>
      <c r="R105" s="119">
        <f t="shared" si="10"/>
        <v>0</v>
      </c>
      <c r="S105" s="119">
        <f t="shared" si="10"/>
        <v>0</v>
      </c>
      <c r="T105" s="119">
        <f t="shared" si="10"/>
        <v>0</v>
      </c>
      <c r="U105" s="119">
        <f t="shared" si="10"/>
        <v>0</v>
      </c>
      <c r="V105" s="119">
        <f t="shared" si="10"/>
        <v>0</v>
      </c>
      <c r="W105" s="119">
        <f t="shared" si="10"/>
        <v>0</v>
      </c>
      <c r="X105" s="119">
        <f t="shared" si="10"/>
        <v>0</v>
      </c>
      <c r="Y105" s="119">
        <f t="shared" si="10"/>
        <v>0</v>
      </c>
      <c r="Z105" s="119">
        <f t="shared" si="10"/>
        <v>0</v>
      </c>
      <c r="AA105" s="119">
        <f t="shared" si="10"/>
        <v>0</v>
      </c>
      <c r="AB105" s="119">
        <f t="shared" si="10"/>
        <v>0</v>
      </c>
      <c r="AC105" s="119">
        <f t="shared" si="10"/>
        <v>0</v>
      </c>
      <c r="AD105" s="119">
        <f t="shared" si="10"/>
        <v>0</v>
      </c>
      <c r="AE105" s="119">
        <f t="shared" si="10"/>
        <v>0</v>
      </c>
      <c r="AF105" s="119">
        <f t="shared" si="10"/>
        <v>0</v>
      </c>
      <c r="AG105" s="119">
        <f t="shared" si="10"/>
        <v>0</v>
      </c>
      <c r="AH105" s="119">
        <f t="shared" si="10"/>
        <v>0</v>
      </c>
      <c r="AI105" s="119">
        <f t="shared" si="10"/>
        <v>0</v>
      </c>
      <c r="AJ105" s="119">
        <f t="shared" si="10"/>
        <v>0</v>
      </c>
      <c r="AK105" s="119">
        <f t="shared" si="10"/>
        <v>0</v>
      </c>
      <c r="AL105" s="119">
        <f t="shared" si="10"/>
        <v>0</v>
      </c>
      <c r="AM105" s="119">
        <f t="shared" si="10"/>
        <v>0</v>
      </c>
      <c r="AN105" s="119">
        <f t="shared" si="10"/>
        <v>0</v>
      </c>
      <c r="AO105" s="119">
        <f t="shared" si="10"/>
        <v>0</v>
      </c>
      <c r="AP105" s="119">
        <f t="shared" si="10"/>
        <v>0</v>
      </c>
      <c r="AQ105" s="119">
        <f t="shared" si="10"/>
        <v>0</v>
      </c>
      <c r="AR105" s="119">
        <f t="shared" si="10"/>
        <v>0</v>
      </c>
      <c r="AS105" s="119">
        <f t="shared" si="10"/>
        <v>0</v>
      </c>
      <c r="AT105" s="119">
        <f t="shared" si="10"/>
        <v>0</v>
      </c>
      <c r="AU105" s="119">
        <f t="shared" si="10"/>
        <v>0</v>
      </c>
      <c r="AV105" s="119">
        <f t="shared" si="10"/>
        <v>0</v>
      </c>
      <c r="AW105" s="119">
        <f t="shared" si="10"/>
        <v>0</v>
      </c>
      <c r="AX105" s="119">
        <f t="shared" si="10"/>
        <v>0</v>
      </c>
      <c r="AY105" s="119">
        <f t="shared" si="10"/>
        <v>0</v>
      </c>
      <c r="AZ105" s="119">
        <f t="shared" si="10"/>
        <v>0</v>
      </c>
      <c r="BA105" s="119">
        <f t="shared" si="10"/>
        <v>0</v>
      </c>
      <c r="BB105" s="119">
        <f t="shared" si="10"/>
        <v>0</v>
      </c>
      <c r="BC105" s="119">
        <f t="shared" si="10"/>
        <v>0</v>
      </c>
      <c r="BD105" s="119">
        <f t="shared" si="10"/>
        <v>0</v>
      </c>
      <c r="BE105" s="119">
        <f t="shared" si="10"/>
        <v>0</v>
      </c>
      <c r="BF105" s="119">
        <f t="shared" si="10"/>
        <v>0</v>
      </c>
      <c r="BG105" s="119">
        <f t="shared" si="10"/>
        <v>0</v>
      </c>
      <c r="BH105" s="119">
        <f t="shared" si="10"/>
        <v>0</v>
      </c>
      <c r="BI105" s="119">
        <f t="shared" si="10"/>
        <v>0</v>
      </c>
      <c r="BJ105" s="119">
        <f t="shared" si="10"/>
        <v>0</v>
      </c>
      <c r="BK105" s="119">
        <f t="shared" si="10"/>
        <v>0</v>
      </c>
      <c r="BL105" s="119">
        <f t="shared" si="10"/>
        <v>0</v>
      </c>
      <c r="BM105" s="119">
        <f t="shared" si="10"/>
        <v>0</v>
      </c>
      <c r="BN105" s="119">
        <f t="shared" ref="BN105:DY105" si="11">SUM(BN91:BN104)</f>
        <v>0</v>
      </c>
      <c r="BO105" s="119">
        <f t="shared" si="11"/>
        <v>0</v>
      </c>
      <c r="BP105" s="119">
        <f t="shared" si="11"/>
        <v>0</v>
      </c>
      <c r="BQ105" s="119">
        <f t="shared" si="11"/>
        <v>0</v>
      </c>
      <c r="BR105" s="119">
        <f t="shared" si="11"/>
        <v>0</v>
      </c>
      <c r="BS105" s="119">
        <f t="shared" si="11"/>
        <v>0</v>
      </c>
      <c r="BT105" s="119">
        <f t="shared" si="11"/>
        <v>0</v>
      </c>
      <c r="BU105" s="119">
        <f t="shared" si="11"/>
        <v>0</v>
      </c>
      <c r="BV105" s="119">
        <f t="shared" si="11"/>
        <v>0</v>
      </c>
      <c r="BW105" s="119">
        <f t="shared" si="11"/>
        <v>0</v>
      </c>
      <c r="BX105" s="119">
        <f t="shared" si="11"/>
        <v>0</v>
      </c>
      <c r="BY105" s="119">
        <f t="shared" si="11"/>
        <v>0</v>
      </c>
      <c r="BZ105" s="119">
        <f t="shared" si="11"/>
        <v>0</v>
      </c>
      <c r="CA105" s="119">
        <f t="shared" si="11"/>
        <v>0</v>
      </c>
      <c r="CB105" s="119">
        <f t="shared" si="11"/>
        <v>0</v>
      </c>
      <c r="CC105" s="119">
        <f t="shared" si="11"/>
        <v>0</v>
      </c>
      <c r="CD105" s="119">
        <f t="shared" si="11"/>
        <v>0</v>
      </c>
      <c r="CE105" s="119">
        <f t="shared" si="11"/>
        <v>0</v>
      </c>
      <c r="CF105" s="119">
        <f t="shared" si="11"/>
        <v>0</v>
      </c>
      <c r="CG105" s="119">
        <f t="shared" si="11"/>
        <v>0</v>
      </c>
      <c r="CH105" s="119">
        <f t="shared" si="11"/>
        <v>0</v>
      </c>
      <c r="CI105" s="119">
        <f t="shared" si="11"/>
        <v>0</v>
      </c>
      <c r="CJ105" s="119">
        <f t="shared" si="11"/>
        <v>0</v>
      </c>
      <c r="CK105" s="119">
        <f t="shared" si="11"/>
        <v>0</v>
      </c>
      <c r="CL105" s="119">
        <f t="shared" si="11"/>
        <v>0</v>
      </c>
      <c r="CM105" s="119">
        <f t="shared" si="11"/>
        <v>0</v>
      </c>
      <c r="CN105" s="119">
        <f t="shared" si="11"/>
        <v>0</v>
      </c>
      <c r="CO105" s="119">
        <f t="shared" si="11"/>
        <v>0</v>
      </c>
      <c r="CP105" s="119">
        <f t="shared" si="11"/>
        <v>0</v>
      </c>
      <c r="CQ105" s="119">
        <f t="shared" si="11"/>
        <v>0</v>
      </c>
      <c r="CR105" s="119">
        <f t="shared" si="11"/>
        <v>0</v>
      </c>
      <c r="CS105" s="119">
        <f t="shared" si="11"/>
        <v>0</v>
      </c>
      <c r="CT105" s="119">
        <f t="shared" si="11"/>
        <v>0</v>
      </c>
      <c r="CU105" s="119">
        <f t="shared" si="11"/>
        <v>0</v>
      </c>
      <c r="CV105" s="119">
        <f t="shared" si="11"/>
        <v>0</v>
      </c>
      <c r="CW105" s="119">
        <f t="shared" si="11"/>
        <v>0</v>
      </c>
      <c r="CX105" s="119">
        <f t="shared" si="11"/>
        <v>0</v>
      </c>
      <c r="CY105" s="119">
        <f t="shared" si="11"/>
        <v>0</v>
      </c>
      <c r="CZ105" s="119">
        <f t="shared" si="11"/>
        <v>0</v>
      </c>
      <c r="DA105" s="119">
        <f t="shared" si="11"/>
        <v>0</v>
      </c>
      <c r="DB105" s="119">
        <f t="shared" si="11"/>
        <v>0</v>
      </c>
      <c r="DC105" s="119">
        <f t="shared" si="11"/>
        <v>0</v>
      </c>
      <c r="DD105" s="119">
        <f t="shared" si="11"/>
        <v>0</v>
      </c>
      <c r="DE105" s="119">
        <f t="shared" si="11"/>
        <v>0</v>
      </c>
      <c r="DF105" s="119">
        <f t="shared" si="11"/>
        <v>0</v>
      </c>
      <c r="DG105" s="119">
        <f t="shared" si="11"/>
        <v>0</v>
      </c>
      <c r="DH105" s="119">
        <f t="shared" si="11"/>
        <v>0</v>
      </c>
      <c r="DI105" s="119">
        <f t="shared" si="11"/>
        <v>0</v>
      </c>
      <c r="DJ105" s="119">
        <f t="shared" si="11"/>
        <v>0</v>
      </c>
      <c r="DK105" s="119">
        <f t="shared" si="11"/>
        <v>0</v>
      </c>
      <c r="DL105" s="119">
        <f t="shared" si="11"/>
        <v>0</v>
      </c>
      <c r="DM105" s="119">
        <f t="shared" si="11"/>
        <v>0</v>
      </c>
      <c r="DN105" s="119">
        <f t="shared" si="11"/>
        <v>0</v>
      </c>
      <c r="DO105" s="119">
        <f t="shared" si="11"/>
        <v>0</v>
      </c>
      <c r="DP105" s="119">
        <f t="shared" si="11"/>
        <v>0</v>
      </c>
      <c r="DQ105" s="119">
        <f t="shared" si="11"/>
        <v>0</v>
      </c>
      <c r="DR105" s="119">
        <f t="shared" si="11"/>
        <v>0</v>
      </c>
      <c r="DS105" s="119">
        <f t="shared" si="11"/>
        <v>0</v>
      </c>
      <c r="DT105" s="119">
        <f t="shared" si="11"/>
        <v>0</v>
      </c>
      <c r="DU105" s="119">
        <f t="shared" si="11"/>
        <v>0</v>
      </c>
      <c r="DV105" s="119">
        <f t="shared" si="11"/>
        <v>0</v>
      </c>
      <c r="DW105" s="119">
        <f t="shared" si="11"/>
        <v>0</v>
      </c>
      <c r="DX105" s="119">
        <f t="shared" si="11"/>
        <v>0</v>
      </c>
      <c r="DY105" s="119">
        <f t="shared" si="11"/>
        <v>0</v>
      </c>
      <c r="DZ105" s="119">
        <f t="shared" ref="DZ105:GK105" si="12">SUM(DZ91:DZ104)</f>
        <v>0</v>
      </c>
      <c r="EA105" s="119">
        <f t="shared" si="12"/>
        <v>0</v>
      </c>
      <c r="EB105" s="119">
        <f t="shared" si="12"/>
        <v>0</v>
      </c>
      <c r="EC105" s="119">
        <f t="shared" si="12"/>
        <v>0</v>
      </c>
      <c r="ED105" s="119">
        <f t="shared" si="12"/>
        <v>0</v>
      </c>
      <c r="EE105" s="119">
        <f t="shared" si="12"/>
        <v>0</v>
      </c>
      <c r="EF105" s="119">
        <f t="shared" si="12"/>
        <v>0</v>
      </c>
      <c r="EG105" s="119">
        <f t="shared" si="12"/>
        <v>0</v>
      </c>
      <c r="EH105" s="119">
        <f t="shared" si="12"/>
        <v>0</v>
      </c>
      <c r="EI105" s="119">
        <f t="shared" si="12"/>
        <v>0</v>
      </c>
      <c r="EJ105" s="119">
        <f t="shared" si="12"/>
        <v>0</v>
      </c>
      <c r="EK105" s="119">
        <f t="shared" si="12"/>
        <v>0</v>
      </c>
      <c r="EL105" s="119">
        <f t="shared" si="12"/>
        <v>0</v>
      </c>
      <c r="EM105" s="119">
        <f t="shared" si="12"/>
        <v>0</v>
      </c>
      <c r="EN105" s="119">
        <f t="shared" si="12"/>
        <v>0</v>
      </c>
      <c r="EO105" s="119">
        <f t="shared" si="12"/>
        <v>0</v>
      </c>
      <c r="EP105" s="119">
        <f t="shared" si="12"/>
        <v>0</v>
      </c>
      <c r="EQ105" s="119">
        <f t="shared" si="12"/>
        <v>0</v>
      </c>
      <c r="ER105" s="119">
        <f t="shared" si="12"/>
        <v>0</v>
      </c>
      <c r="ES105" s="119">
        <f t="shared" si="12"/>
        <v>0</v>
      </c>
      <c r="ET105" s="119">
        <f t="shared" si="12"/>
        <v>0</v>
      </c>
      <c r="EU105" s="119">
        <f t="shared" si="12"/>
        <v>0</v>
      </c>
      <c r="EV105" s="119">
        <f t="shared" si="12"/>
        <v>0</v>
      </c>
      <c r="EW105" s="119">
        <f t="shared" si="12"/>
        <v>0</v>
      </c>
      <c r="EX105" s="119">
        <f t="shared" si="12"/>
        <v>0</v>
      </c>
      <c r="EY105" s="119">
        <f t="shared" si="12"/>
        <v>0</v>
      </c>
      <c r="EZ105" s="119">
        <f t="shared" si="12"/>
        <v>0</v>
      </c>
      <c r="FA105" s="119">
        <f t="shared" si="12"/>
        <v>0</v>
      </c>
      <c r="FB105" s="119">
        <f t="shared" si="12"/>
        <v>0</v>
      </c>
      <c r="FC105" s="119">
        <f t="shared" si="12"/>
        <v>0</v>
      </c>
      <c r="FD105" s="119">
        <f t="shared" si="12"/>
        <v>0</v>
      </c>
      <c r="FE105" s="119">
        <f t="shared" si="12"/>
        <v>0</v>
      </c>
      <c r="FF105" s="119">
        <f t="shared" si="12"/>
        <v>0</v>
      </c>
      <c r="FG105" s="119">
        <f t="shared" si="12"/>
        <v>0</v>
      </c>
      <c r="FH105" s="119">
        <f t="shared" si="12"/>
        <v>0</v>
      </c>
      <c r="FI105" s="119">
        <f t="shared" si="12"/>
        <v>0</v>
      </c>
      <c r="FJ105" s="119">
        <f t="shared" si="12"/>
        <v>0</v>
      </c>
      <c r="FK105" s="119">
        <f t="shared" si="12"/>
        <v>0</v>
      </c>
      <c r="FL105" s="119">
        <f t="shared" si="12"/>
        <v>0</v>
      </c>
      <c r="FM105" s="119">
        <f t="shared" si="12"/>
        <v>0</v>
      </c>
      <c r="FN105" s="119">
        <f t="shared" si="12"/>
        <v>0</v>
      </c>
      <c r="FO105" s="119">
        <f t="shared" si="12"/>
        <v>0</v>
      </c>
      <c r="FP105" s="119">
        <f t="shared" si="12"/>
        <v>0</v>
      </c>
      <c r="FQ105" s="119">
        <f t="shared" si="12"/>
        <v>0</v>
      </c>
      <c r="FR105" s="119">
        <f t="shared" si="12"/>
        <v>0</v>
      </c>
      <c r="FS105" s="119">
        <f t="shared" si="12"/>
        <v>0</v>
      </c>
      <c r="FT105" s="119">
        <f t="shared" si="12"/>
        <v>0</v>
      </c>
      <c r="FU105" s="119">
        <f t="shared" si="12"/>
        <v>0</v>
      </c>
      <c r="FV105" s="119">
        <f t="shared" si="12"/>
        <v>0</v>
      </c>
      <c r="FW105" s="119">
        <f t="shared" si="12"/>
        <v>0</v>
      </c>
      <c r="FX105" s="119">
        <f t="shared" si="12"/>
        <v>0</v>
      </c>
      <c r="FY105" s="119">
        <f t="shared" si="12"/>
        <v>0</v>
      </c>
      <c r="FZ105" s="119">
        <f t="shared" si="12"/>
        <v>0</v>
      </c>
      <c r="GA105" s="119">
        <f t="shared" si="12"/>
        <v>0</v>
      </c>
      <c r="GB105" s="119">
        <f t="shared" si="12"/>
        <v>0</v>
      </c>
      <c r="GC105" s="119">
        <f t="shared" si="12"/>
        <v>0</v>
      </c>
      <c r="GD105" s="119">
        <f t="shared" si="12"/>
        <v>0</v>
      </c>
      <c r="GE105" s="119">
        <f t="shared" si="12"/>
        <v>0</v>
      </c>
      <c r="GF105" s="119">
        <f t="shared" si="12"/>
        <v>0</v>
      </c>
      <c r="GG105" s="119">
        <f t="shared" si="12"/>
        <v>0</v>
      </c>
      <c r="GH105" s="119">
        <f t="shared" si="12"/>
        <v>0</v>
      </c>
      <c r="GI105" s="119">
        <f t="shared" si="12"/>
        <v>0</v>
      </c>
      <c r="GJ105" s="119">
        <f t="shared" si="12"/>
        <v>0</v>
      </c>
      <c r="GK105" s="119">
        <f t="shared" si="12"/>
        <v>0</v>
      </c>
      <c r="GL105" s="119">
        <f t="shared" ref="GL105:IW105" si="13">SUM(GL91:GL104)</f>
        <v>0</v>
      </c>
      <c r="GM105" s="119">
        <f t="shared" si="13"/>
        <v>0</v>
      </c>
      <c r="GN105" s="119">
        <f t="shared" si="13"/>
        <v>0</v>
      </c>
      <c r="GO105" s="119">
        <f t="shared" si="13"/>
        <v>0</v>
      </c>
      <c r="GP105" s="119">
        <f t="shared" si="13"/>
        <v>0</v>
      </c>
      <c r="GQ105" s="119">
        <f t="shared" si="13"/>
        <v>0</v>
      </c>
      <c r="GR105" s="119">
        <f t="shared" si="13"/>
        <v>0</v>
      </c>
      <c r="GS105" s="119">
        <f t="shared" si="13"/>
        <v>0</v>
      </c>
      <c r="GT105" s="119">
        <f t="shared" si="13"/>
        <v>0</v>
      </c>
      <c r="GU105" s="119">
        <f t="shared" si="13"/>
        <v>0</v>
      </c>
      <c r="GV105" s="119">
        <f t="shared" si="13"/>
        <v>0</v>
      </c>
      <c r="GW105" s="119">
        <f t="shared" si="13"/>
        <v>0</v>
      </c>
      <c r="GX105" s="119">
        <f t="shared" si="13"/>
        <v>0</v>
      </c>
      <c r="GY105" s="119">
        <f t="shared" si="13"/>
        <v>0</v>
      </c>
      <c r="GZ105" s="119">
        <f t="shared" si="13"/>
        <v>0</v>
      </c>
      <c r="HA105" s="119">
        <f t="shared" si="13"/>
        <v>0</v>
      </c>
      <c r="HB105" s="119">
        <f t="shared" si="13"/>
        <v>0</v>
      </c>
      <c r="HC105" s="119">
        <f t="shared" si="13"/>
        <v>0</v>
      </c>
      <c r="HD105" s="119">
        <f t="shared" si="13"/>
        <v>0</v>
      </c>
      <c r="HE105" s="119">
        <f t="shared" si="13"/>
        <v>0</v>
      </c>
      <c r="HF105" s="119">
        <f t="shared" si="13"/>
        <v>0</v>
      </c>
      <c r="HG105" s="119">
        <f t="shared" si="13"/>
        <v>0</v>
      </c>
      <c r="HH105" s="119">
        <f t="shared" si="13"/>
        <v>0</v>
      </c>
      <c r="HI105" s="119">
        <f t="shared" si="13"/>
        <v>0</v>
      </c>
      <c r="HJ105" s="119">
        <f t="shared" si="13"/>
        <v>0</v>
      </c>
      <c r="HK105" s="119">
        <f t="shared" si="13"/>
        <v>0</v>
      </c>
      <c r="HL105" s="119">
        <f t="shared" si="13"/>
        <v>0</v>
      </c>
      <c r="HM105" s="119">
        <f t="shared" si="13"/>
        <v>0</v>
      </c>
      <c r="HN105" s="119">
        <f t="shared" si="13"/>
        <v>0</v>
      </c>
      <c r="HO105" s="119">
        <f t="shared" si="13"/>
        <v>0</v>
      </c>
      <c r="HP105" s="119">
        <f t="shared" si="13"/>
        <v>0</v>
      </c>
      <c r="HQ105" s="119">
        <f t="shared" si="13"/>
        <v>0</v>
      </c>
      <c r="HR105" s="119">
        <f t="shared" si="13"/>
        <v>0</v>
      </c>
      <c r="HS105" s="119">
        <f t="shared" si="13"/>
        <v>0</v>
      </c>
      <c r="HT105" s="119">
        <f t="shared" si="13"/>
        <v>0</v>
      </c>
      <c r="HU105" s="119">
        <f t="shared" si="13"/>
        <v>0</v>
      </c>
      <c r="HV105" s="119">
        <f t="shared" si="13"/>
        <v>0</v>
      </c>
      <c r="HW105" s="119">
        <f t="shared" si="13"/>
        <v>0</v>
      </c>
      <c r="HX105" s="119">
        <f t="shared" si="13"/>
        <v>0</v>
      </c>
      <c r="HY105" s="119">
        <f t="shared" si="13"/>
        <v>0</v>
      </c>
      <c r="HZ105" s="119">
        <f t="shared" si="13"/>
        <v>0</v>
      </c>
      <c r="IA105" s="119">
        <f t="shared" si="13"/>
        <v>0</v>
      </c>
      <c r="IB105" s="119">
        <f t="shared" si="13"/>
        <v>0</v>
      </c>
      <c r="IC105" s="119">
        <f t="shared" si="13"/>
        <v>0</v>
      </c>
      <c r="ID105" s="119">
        <f t="shared" si="13"/>
        <v>0</v>
      </c>
      <c r="IE105" s="119">
        <f t="shared" si="13"/>
        <v>0</v>
      </c>
      <c r="IF105" s="119">
        <f t="shared" si="13"/>
        <v>0</v>
      </c>
      <c r="IG105" s="119">
        <f t="shared" si="13"/>
        <v>0</v>
      </c>
      <c r="IH105" s="119">
        <f t="shared" si="13"/>
        <v>0</v>
      </c>
      <c r="II105" s="119">
        <f t="shared" si="13"/>
        <v>0</v>
      </c>
      <c r="IJ105" s="119">
        <f t="shared" si="13"/>
        <v>0</v>
      </c>
      <c r="IK105" s="119">
        <f t="shared" si="13"/>
        <v>0</v>
      </c>
      <c r="IL105" s="119">
        <f t="shared" si="13"/>
        <v>0</v>
      </c>
      <c r="IM105" s="119">
        <f t="shared" si="13"/>
        <v>0</v>
      </c>
      <c r="IN105" s="119">
        <f t="shared" si="13"/>
        <v>0</v>
      </c>
      <c r="IO105" s="119">
        <f t="shared" si="13"/>
        <v>0</v>
      </c>
      <c r="IP105" s="119">
        <f t="shared" si="13"/>
        <v>0</v>
      </c>
      <c r="IQ105" s="119">
        <f t="shared" si="13"/>
        <v>0</v>
      </c>
      <c r="IR105" s="119">
        <f t="shared" si="13"/>
        <v>0</v>
      </c>
      <c r="IS105" s="119">
        <f t="shared" si="13"/>
        <v>0</v>
      </c>
      <c r="IT105" s="119">
        <f t="shared" si="13"/>
        <v>0</v>
      </c>
      <c r="IU105" s="119">
        <f t="shared" si="13"/>
        <v>0</v>
      </c>
      <c r="IV105" s="119">
        <f t="shared" si="13"/>
        <v>0</v>
      </c>
      <c r="IW105" s="119">
        <f t="shared" si="13"/>
        <v>0</v>
      </c>
      <c r="IX105" s="119">
        <f t="shared" ref="IX105:JH105" si="14">SUM(IX91:IX104)</f>
        <v>0</v>
      </c>
      <c r="IY105" s="119">
        <f t="shared" si="14"/>
        <v>0</v>
      </c>
      <c r="IZ105" s="119">
        <f t="shared" si="14"/>
        <v>0</v>
      </c>
      <c r="JA105" s="119">
        <f t="shared" si="14"/>
        <v>0</v>
      </c>
      <c r="JB105" s="119">
        <f t="shared" si="14"/>
        <v>0</v>
      </c>
      <c r="JC105" s="119">
        <f t="shared" si="14"/>
        <v>0</v>
      </c>
      <c r="JD105" s="119">
        <f t="shared" si="14"/>
        <v>0</v>
      </c>
      <c r="JE105" s="119">
        <f t="shared" si="14"/>
        <v>0</v>
      </c>
      <c r="JF105" s="119">
        <f t="shared" si="14"/>
        <v>0</v>
      </c>
      <c r="JG105" s="119">
        <f t="shared" si="14"/>
        <v>0</v>
      </c>
      <c r="JH105" s="119">
        <f t="shared" si="14"/>
        <v>0</v>
      </c>
      <c r="JI105" s="119">
        <f>SUM(JI91:JI104)</f>
        <v>0</v>
      </c>
      <c r="JJ105" s="2"/>
      <c r="JK105" s="2"/>
    </row>
    <row r="106" spans="1:271" x14ac:dyDescent="0.25">
      <c r="A106" s="119">
        <f>A89+A105</f>
        <v>0</v>
      </c>
      <c r="B106" s="119">
        <f t="shared" ref="B106:BM106" si="15">B89+B105</f>
        <v>0</v>
      </c>
      <c r="C106" s="119">
        <f t="shared" si="15"/>
        <v>0</v>
      </c>
      <c r="D106" s="119">
        <f t="shared" si="15"/>
        <v>0</v>
      </c>
      <c r="E106" s="119">
        <f t="shared" si="15"/>
        <v>0</v>
      </c>
      <c r="F106" s="119">
        <f t="shared" si="15"/>
        <v>0</v>
      </c>
      <c r="G106" s="119">
        <f t="shared" si="15"/>
        <v>0</v>
      </c>
      <c r="H106" s="119">
        <f t="shared" si="15"/>
        <v>0</v>
      </c>
      <c r="I106" s="119">
        <f t="shared" si="15"/>
        <v>0</v>
      </c>
      <c r="J106" s="119">
        <f t="shared" si="15"/>
        <v>0</v>
      </c>
      <c r="K106" s="119">
        <f t="shared" si="15"/>
        <v>0</v>
      </c>
      <c r="L106" s="119">
        <f t="shared" si="15"/>
        <v>0</v>
      </c>
      <c r="M106" s="119">
        <f t="shared" si="15"/>
        <v>0</v>
      </c>
      <c r="N106" s="119">
        <f t="shared" si="15"/>
        <v>0</v>
      </c>
      <c r="O106" s="119">
        <f t="shared" si="15"/>
        <v>0</v>
      </c>
      <c r="P106" s="119">
        <f t="shared" si="15"/>
        <v>0</v>
      </c>
      <c r="Q106" s="119">
        <f t="shared" si="15"/>
        <v>0</v>
      </c>
      <c r="R106" s="119">
        <f t="shared" si="15"/>
        <v>0</v>
      </c>
      <c r="S106" s="119">
        <f t="shared" si="15"/>
        <v>0</v>
      </c>
      <c r="T106" s="119">
        <f t="shared" si="15"/>
        <v>0</v>
      </c>
      <c r="U106" s="119">
        <f t="shared" si="15"/>
        <v>0</v>
      </c>
      <c r="V106" s="119">
        <f t="shared" si="15"/>
        <v>0</v>
      </c>
      <c r="W106" s="119">
        <f t="shared" si="15"/>
        <v>0</v>
      </c>
      <c r="X106" s="119">
        <f t="shared" si="15"/>
        <v>0</v>
      </c>
      <c r="Y106" s="119">
        <f t="shared" si="15"/>
        <v>0</v>
      </c>
      <c r="Z106" s="119">
        <f t="shared" si="15"/>
        <v>0</v>
      </c>
      <c r="AA106" s="119">
        <f t="shared" si="15"/>
        <v>0</v>
      </c>
      <c r="AB106" s="119">
        <f t="shared" si="15"/>
        <v>0</v>
      </c>
      <c r="AC106" s="119">
        <f t="shared" si="15"/>
        <v>0</v>
      </c>
      <c r="AD106" s="119">
        <f t="shared" si="15"/>
        <v>0</v>
      </c>
      <c r="AE106" s="119">
        <f t="shared" si="15"/>
        <v>0</v>
      </c>
      <c r="AF106" s="119">
        <f t="shared" si="15"/>
        <v>0</v>
      </c>
      <c r="AG106" s="119">
        <f t="shared" si="15"/>
        <v>0</v>
      </c>
      <c r="AH106" s="119">
        <f t="shared" si="15"/>
        <v>0</v>
      </c>
      <c r="AI106" s="119">
        <f t="shared" si="15"/>
        <v>0</v>
      </c>
      <c r="AJ106" s="119">
        <f t="shared" si="15"/>
        <v>0</v>
      </c>
      <c r="AK106" s="119">
        <f t="shared" si="15"/>
        <v>0</v>
      </c>
      <c r="AL106" s="119">
        <f t="shared" si="15"/>
        <v>0</v>
      </c>
      <c r="AM106" s="119">
        <f t="shared" si="15"/>
        <v>0</v>
      </c>
      <c r="AN106" s="119">
        <f t="shared" si="15"/>
        <v>0</v>
      </c>
      <c r="AO106" s="119">
        <f t="shared" si="15"/>
        <v>0</v>
      </c>
      <c r="AP106" s="119">
        <f t="shared" si="15"/>
        <v>0</v>
      </c>
      <c r="AQ106" s="119">
        <f t="shared" si="15"/>
        <v>209036.41</v>
      </c>
      <c r="AR106" s="119">
        <f t="shared" si="15"/>
        <v>0</v>
      </c>
      <c r="AS106" s="119">
        <f t="shared" si="15"/>
        <v>104427.01</v>
      </c>
      <c r="AT106" s="119">
        <f t="shared" si="15"/>
        <v>0</v>
      </c>
      <c r="AU106" s="119">
        <f t="shared" si="15"/>
        <v>0</v>
      </c>
      <c r="AV106" s="119">
        <f t="shared" si="15"/>
        <v>0</v>
      </c>
      <c r="AW106" s="119">
        <f t="shared" si="15"/>
        <v>785000</v>
      </c>
      <c r="AX106" s="119">
        <f t="shared" si="15"/>
        <v>0</v>
      </c>
      <c r="AY106" s="119">
        <f t="shared" si="15"/>
        <v>0</v>
      </c>
      <c r="AZ106" s="119">
        <f t="shared" si="15"/>
        <v>0</v>
      </c>
      <c r="BA106" s="119">
        <f t="shared" si="15"/>
        <v>0</v>
      </c>
      <c r="BB106" s="119">
        <f t="shared" si="15"/>
        <v>20000</v>
      </c>
      <c r="BC106" s="119">
        <f t="shared" si="15"/>
        <v>56000</v>
      </c>
      <c r="BD106" s="119">
        <f t="shared" si="15"/>
        <v>0</v>
      </c>
      <c r="BE106" s="119">
        <f t="shared" si="15"/>
        <v>0</v>
      </c>
      <c r="BF106" s="119">
        <f t="shared" si="15"/>
        <v>0</v>
      </c>
      <c r="BG106" s="119">
        <f t="shared" si="15"/>
        <v>0</v>
      </c>
      <c r="BH106" s="119">
        <f t="shared" si="15"/>
        <v>0</v>
      </c>
      <c r="BI106" s="119">
        <f t="shared" si="15"/>
        <v>476550.64</v>
      </c>
      <c r="BJ106" s="119">
        <f t="shared" si="15"/>
        <v>0</v>
      </c>
      <c r="BK106" s="119">
        <f t="shared" si="15"/>
        <v>0</v>
      </c>
      <c r="BL106" s="119">
        <f t="shared" si="15"/>
        <v>0</v>
      </c>
      <c r="BM106" s="119">
        <f t="shared" si="15"/>
        <v>0</v>
      </c>
      <c r="BN106" s="119">
        <f t="shared" ref="BN106:DY106" si="16">BN89+BN105</f>
        <v>0</v>
      </c>
      <c r="BO106" s="119">
        <f t="shared" si="16"/>
        <v>0</v>
      </c>
      <c r="BP106" s="119">
        <f t="shared" si="16"/>
        <v>0</v>
      </c>
      <c r="BQ106" s="119">
        <f t="shared" si="16"/>
        <v>53100</v>
      </c>
      <c r="BR106" s="119">
        <f t="shared" si="16"/>
        <v>0</v>
      </c>
      <c r="BS106" s="119">
        <f t="shared" si="16"/>
        <v>0</v>
      </c>
      <c r="BT106" s="119">
        <f t="shared" si="16"/>
        <v>0</v>
      </c>
      <c r="BU106" s="119">
        <f t="shared" si="16"/>
        <v>0</v>
      </c>
      <c r="BV106" s="119">
        <f t="shared" si="16"/>
        <v>0</v>
      </c>
      <c r="BW106" s="119">
        <f t="shared" si="16"/>
        <v>0</v>
      </c>
      <c r="BX106" s="119">
        <f t="shared" si="16"/>
        <v>0</v>
      </c>
      <c r="BY106" s="119">
        <f t="shared" si="16"/>
        <v>0</v>
      </c>
      <c r="BZ106" s="119">
        <f t="shared" si="16"/>
        <v>0</v>
      </c>
      <c r="CA106" s="119">
        <f t="shared" si="16"/>
        <v>0</v>
      </c>
      <c r="CB106" s="119">
        <f t="shared" si="16"/>
        <v>0</v>
      </c>
      <c r="CC106" s="119">
        <f t="shared" si="16"/>
        <v>0</v>
      </c>
      <c r="CD106" s="119">
        <f t="shared" si="16"/>
        <v>0</v>
      </c>
      <c r="CE106" s="119">
        <f t="shared" si="16"/>
        <v>0</v>
      </c>
      <c r="CF106" s="119">
        <f t="shared" si="16"/>
        <v>0</v>
      </c>
      <c r="CG106" s="119">
        <f t="shared" si="16"/>
        <v>0</v>
      </c>
      <c r="CH106" s="119">
        <f t="shared" si="16"/>
        <v>0</v>
      </c>
      <c r="CI106" s="119">
        <f t="shared" si="16"/>
        <v>0</v>
      </c>
      <c r="CJ106" s="119">
        <f t="shared" si="16"/>
        <v>0</v>
      </c>
      <c r="CK106" s="119">
        <f t="shared" si="16"/>
        <v>0</v>
      </c>
      <c r="CL106" s="119">
        <f t="shared" si="16"/>
        <v>205899.13999999998</v>
      </c>
      <c r="CM106" s="119">
        <f t="shared" si="16"/>
        <v>0</v>
      </c>
      <c r="CN106" s="119">
        <f t="shared" si="16"/>
        <v>0</v>
      </c>
      <c r="CO106" s="119">
        <f t="shared" si="16"/>
        <v>0</v>
      </c>
      <c r="CP106" s="119">
        <f t="shared" si="16"/>
        <v>0</v>
      </c>
      <c r="CQ106" s="119">
        <f t="shared" si="16"/>
        <v>0</v>
      </c>
      <c r="CR106" s="119">
        <f t="shared" si="16"/>
        <v>0</v>
      </c>
      <c r="CS106" s="119">
        <f t="shared" si="16"/>
        <v>0</v>
      </c>
      <c r="CT106" s="119">
        <f t="shared" si="16"/>
        <v>0</v>
      </c>
      <c r="CU106" s="119">
        <f t="shared" si="16"/>
        <v>92016.4</v>
      </c>
      <c r="CV106" s="119">
        <f t="shared" si="16"/>
        <v>0</v>
      </c>
      <c r="CW106" s="119">
        <f t="shared" si="16"/>
        <v>0</v>
      </c>
      <c r="CX106" s="119">
        <f t="shared" si="16"/>
        <v>0</v>
      </c>
      <c r="CY106" s="119">
        <f t="shared" si="16"/>
        <v>0</v>
      </c>
      <c r="CZ106" s="119">
        <f t="shared" si="16"/>
        <v>0</v>
      </c>
      <c r="DA106" s="119">
        <f t="shared" si="16"/>
        <v>0</v>
      </c>
      <c r="DB106" s="119">
        <f t="shared" si="16"/>
        <v>0</v>
      </c>
      <c r="DC106" s="119">
        <f t="shared" si="16"/>
        <v>0</v>
      </c>
      <c r="DD106" s="119">
        <f t="shared" si="16"/>
        <v>0</v>
      </c>
      <c r="DE106" s="119">
        <f t="shared" si="16"/>
        <v>42033</v>
      </c>
      <c r="DF106" s="119">
        <f t="shared" si="16"/>
        <v>0</v>
      </c>
      <c r="DG106" s="119">
        <f t="shared" si="16"/>
        <v>0</v>
      </c>
      <c r="DH106" s="119">
        <f t="shared" si="16"/>
        <v>0</v>
      </c>
      <c r="DI106" s="119">
        <f t="shared" si="16"/>
        <v>0</v>
      </c>
      <c r="DJ106" s="119">
        <f t="shared" si="16"/>
        <v>0</v>
      </c>
      <c r="DK106" s="119">
        <f t="shared" si="16"/>
        <v>355075</v>
      </c>
      <c r="DL106" s="119">
        <f t="shared" si="16"/>
        <v>0</v>
      </c>
      <c r="DM106" s="119">
        <f t="shared" si="16"/>
        <v>0</v>
      </c>
      <c r="DN106" s="119">
        <f t="shared" si="16"/>
        <v>0</v>
      </c>
      <c r="DO106" s="119">
        <f t="shared" si="16"/>
        <v>0</v>
      </c>
      <c r="DP106" s="119">
        <f t="shared" si="16"/>
        <v>0</v>
      </c>
      <c r="DQ106" s="119">
        <f t="shared" si="16"/>
        <v>0</v>
      </c>
      <c r="DR106" s="119">
        <f t="shared" si="16"/>
        <v>141128</v>
      </c>
      <c r="DS106" s="119">
        <f t="shared" si="16"/>
        <v>0</v>
      </c>
      <c r="DT106" s="119">
        <f t="shared" si="16"/>
        <v>0</v>
      </c>
      <c r="DU106" s="119">
        <f t="shared" si="16"/>
        <v>0</v>
      </c>
      <c r="DV106" s="119">
        <f t="shared" si="16"/>
        <v>498900</v>
      </c>
      <c r="DW106" s="119">
        <f t="shared" si="16"/>
        <v>108265</v>
      </c>
      <c r="DX106" s="119">
        <f t="shared" si="16"/>
        <v>0</v>
      </c>
      <c r="DY106" s="119">
        <f t="shared" si="16"/>
        <v>0</v>
      </c>
      <c r="DZ106" s="119">
        <f t="shared" ref="DZ106:GK106" si="17">DZ89+DZ105</f>
        <v>0</v>
      </c>
      <c r="EA106" s="119">
        <f t="shared" si="17"/>
        <v>130100</v>
      </c>
      <c r="EB106" s="119">
        <f t="shared" si="17"/>
        <v>0</v>
      </c>
      <c r="EC106" s="119">
        <f t="shared" si="17"/>
        <v>0</v>
      </c>
      <c r="ED106" s="119">
        <f t="shared" si="17"/>
        <v>0</v>
      </c>
      <c r="EE106" s="119">
        <f t="shared" si="17"/>
        <v>0</v>
      </c>
      <c r="EF106" s="119">
        <f t="shared" si="17"/>
        <v>0</v>
      </c>
      <c r="EG106" s="119">
        <f t="shared" si="17"/>
        <v>0</v>
      </c>
      <c r="EH106" s="119">
        <f t="shared" si="17"/>
        <v>0</v>
      </c>
      <c r="EI106" s="119">
        <f t="shared" si="17"/>
        <v>0</v>
      </c>
      <c r="EJ106" s="119">
        <f t="shared" si="17"/>
        <v>0</v>
      </c>
      <c r="EK106" s="119">
        <f t="shared" si="17"/>
        <v>0</v>
      </c>
      <c r="EL106" s="119">
        <f t="shared" si="17"/>
        <v>0</v>
      </c>
      <c r="EM106" s="119">
        <f t="shared" si="17"/>
        <v>0</v>
      </c>
      <c r="EN106" s="119">
        <f t="shared" si="17"/>
        <v>0</v>
      </c>
      <c r="EO106" s="119">
        <f t="shared" si="17"/>
        <v>0</v>
      </c>
      <c r="EP106" s="119">
        <f t="shared" si="17"/>
        <v>0</v>
      </c>
      <c r="EQ106" s="119">
        <f t="shared" si="17"/>
        <v>0</v>
      </c>
      <c r="ER106" s="119">
        <f t="shared" si="17"/>
        <v>0</v>
      </c>
      <c r="ES106" s="119">
        <f t="shared" si="17"/>
        <v>0</v>
      </c>
      <c r="ET106" s="119">
        <f t="shared" si="17"/>
        <v>0</v>
      </c>
      <c r="EU106" s="119">
        <f t="shared" si="17"/>
        <v>0</v>
      </c>
      <c r="EV106" s="119">
        <f t="shared" si="17"/>
        <v>0</v>
      </c>
      <c r="EW106" s="119">
        <f t="shared" si="17"/>
        <v>0</v>
      </c>
      <c r="EX106" s="119">
        <f t="shared" si="17"/>
        <v>0</v>
      </c>
      <c r="EY106" s="119">
        <f t="shared" si="17"/>
        <v>0</v>
      </c>
      <c r="EZ106" s="119">
        <f t="shared" si="17"/>
        <v>0</v>
      </c>
      <c r="FA106" s="119">
        <f t="shared" si="17"/>
        <v>172000</v>
      </c>
      <c r="FB106" s="119">
        <f t="shared" si="17"/>
        <v>0</v>
      </c>
      <c r="FC106" s="119">
        <f t="shared" si="17"/>
        <v>0</v>
      </c>
      <c r="FD106" s="119">
        <f t="shared" si="17"/>
        <v>47073</v>
      </c>
      <c r="FE106" s="119">
        <f t="shared" si="17"/>
        <v>0</v>
      </c>
      <c r="FF106" s="119">
        <f t="shared" si="17"/>
        <v>0</v>
      </c>
      <c r="FG106" s="119">
        <f t="shared" si="17"/>
        <v>0</v>
      </c>
      <c r="FH106" s="119">
        <f t="shared" si="17"/>
        <v>0</v>
      </c>
      <c r="FI106" s="119">
        <f t="shared" si="17"/>
        <v>0</v>
      </c>
      <c r="FJ106" s="119">
        <f t="shared" si="17"/>
        <v>846850</v>
      </c>
      <c r="FK106" s="119">
        <f t="shared" si="17"/>
        <v>0</v>
      </c>
      <c r="FL106" s="119">
        <f t="shared" si="17"/>
        <v>0</v>
      </c>
      <c r="FM106" s="119">
        <f t="shared" si="17"/>
        <v>0</v>
      </c>
      <c r="FN106" s="119">
        <f t="shared" si="17"/>
        <v>0</v>
      </c>
      <c r="FO106" s="119">
        <f t="shared" si="17"/>
        <v>0</v>
      </c>
      <c r="FP106" s="119">
        <f t="shared" si="17"/>
        <v>0</v>
      </c>
      <c r="FQ106" s="119">
        <f t="shared" si="17"/>
        <v>98506.4</v>
      </c>
      <c r="FR106" s="119">
        <f t="shared" si="17"/>
        <v>0</v>
      </c>
      <c r="FS106" s="119">
        <f t="shared" si="17"/>
        <v>0</v>
      </c>
      <c r="FT106" s="119">
        <f t="shared" si="17"/>
        <v>108884.20000000001</v>
      </c>
      <c r="FU106" s="119">
        <f t="shared" si="17"/>
        <v>0</v>
      </c>
      <c r="FV106" s="119">
        <f t="shared" si="17"/>
        <v>0</v>
      </c>
      <c r="FW106" s="119">
        <f t="shared" si="17"/>
        <v>0</v>
      </c>
      <c r="FX106" s="119">
        <f t="shared" si="17"/>
        <v>0</v>
      </c>
      <c r="FY106" s="119">
        <f t="shared" si="17"/>
        <v>0</v>
      </c>
      <c r="FZ106" s="119">
        <f t="shared" si="17"/>
        <v>0</v>
      </c>
      <c r="GA106" s="119">
        <f t="shared" si="17"/>
        <v>50620</v>
      </c>
      <c r="GB106" s="119">
        <f t="shared" si="17"/>
        <v>0</v>
      </c>
      <c r="GC106" s="119">
        <f t="shared" si="17"/>
        <v>0</v>
      </c>
      <c r="GD106" s="119">
        <f t="shared" si="17"/>
        <v>480808</v>
      </c>
      <c r="GE106" s="119">
        <f t="shared" si="17"/>
        <v>0</v>
      </c>
      <c r="GF106" s="119">
        <f t="shared" si="17"/>
        <v>0</v>
      </c>
      <c r="GG106" s="119">
        <f t="shared" si="17"/>
        <v>0</v>
      </c>
      <c r="GH106" s="119">
        <f t="shared" si="17"/>
        <v>0</v>
      </c>
      <c r="GI106" s="119">
        <f t="shared" si="17"/>
        <v>0</v>
      </c>
      <c r="GJ106" s="119">
        <f t="shared" si="17"/>
        <v>0</v>
      </c>
      <c r="GK106" s="119">
        <f t="shared" si="17"/>
        <v>0</v>
      </c>
      <c r="GL106" s="119">
        <f t="shared" ref="GL106:IW106" si="18">GL89+GL105</f>
        <v>0</v>
      </c>
      <c r="GM106" s="119">
        <f t="shared" si="18"/>
        <v>0</v>
      </c>
      <c r="GN106" s="119">
        <f t="shared" si="18"/>
        <v>0</v>
      </c>
      <c r="GO106" s="119">
        <f t="shared" si="18"/>
        <v>0</v>
      </c>
      <c r="GP106" s="119">
        <f t="shared" si="18"/>
        <v>0</v>
      </c>
      <c r="GQ106" s="119">
        <f t="shared" si="18"/>
        <v>0</v>
      </c>
      <c r="GR106" s="119">
        <f t="shared" si="18"/>
        <v>2221942.19</v>
      </c>
      <c r="GS106" s="119">
        <f t="shared" si="18"/>
        <v>0</v>
      </c>
      <c r="GT106" s="119">
        <f t="shared" si="18"/>
        <v>1705100</v>
      </c>
      <c r="GU106" s="119">
        <f t="shared" si="18"/>
        <v>0</v>
      </c>
      <c r="GV106" s="119">
        <f t="shared" si="18"/>
        <v>0</v>
      </c>
      <c r="GW106" s="119">
        <f t="shared" si="18"/>
        <v>0</v>
      </c>
      <c r="GX106" s="119">
        <f t="shared" si="18"/>
        <v>0</v>
      </c>
      <c r="GY106" s="119">
        <f t="shared" si="18"/>
        <v>0</v>
      </c>
      <c r="GZ106" s="119">
        <f t="shared" si="18"/>
        <v>0</v>
      </c>
      <c r="HA106" s="119">
        <f t="shared" si="18"/>
        <v>0</v>
      </c>
      <c r="HB106" s="119">
        <f t="shared" si="18"/>
        <v>0</v>
      </c>
      <c r="HC106" s="119">
        <f t="shared" si="18"/>
        <v>0</v>
      </c>
      <c r="HD106" s="119">
        <f t="shared" si="18"/>
        <v>0</v>
      </c>
      <c r="HE106" s="119">
        <f t="shared" si="18"/>
        <v>0</v>
      </c>
      <c r="HF106" s="119">
        <f t="shared" si="18"/>
        <v>0</v>
      </c>
      <c r="HG106" s="119">
        <f t="shared" si="18"/>
        <v>0</v>
      </c>
      <c r="HH106" s="119">
        <f t="shared" si="18"/>
        <v>0</v>
      </c>
      <c r="HI106" s="119">
        <f t="shared" si="18"/>
        <v>0</v>
      </c>
      <c r="HJ106" s="119">
        <f t="shared" si="18"/>
        <v>0</v>
      </c>
      <c r="HK106" s="119">
        <f t="shared" si="18"/>
        <v>0</v>
      </c>
      <c r="HL106" s="119">
        <f t="shared" si="18"/>
        <v>0</v>
      </c>
      <c r="HM106" s="119">
        <f t="shared" si="18"/>
        <v>0</v>
      </c>
      <c r="HN106" s="119">
        <f t="shared" si="18"/>
        <v>0</v>
      </c>
      <c r="HO106" s="119">
        <f t="shared" si="18"/>
        <v>0</v>
      </c>
      <c r="HP106" s="119">
        <f t="shared" si="18"/>
        <v>0</v>
      </c>
      <c r="HQ106" s="119">
        <f t="shared" si="18"/>
        <v>0</v>
      </c>
      <c r="HR106" s="119">
        <f t="shared" si="18"/>
        <v>0</v>
      </c>
      <c r="HS106" s="119">
        <f t="shared" si="18"/>
        <v>0</v>
      </c>
      <c r="HT106" s="119">
        <f t="shared" si="18"/>
        <v>0</v>
      </c>
      <c r="HU106" s="119">
        <f t="shared" si="18"/>
        <v>0</v>
      </c>
      <c r="HV106" s="119">
        <f t="shared" si="18"/>
        <v>0</v>
      </c>
      <c r="HW106" s="119">
        <f t="shared" si="18"/>
        <v>0</v>
      </c>
      <c r="HX106" s="119">
        <f t="shared" si="18"/>
        <v>0</v>
      </c>
      <c r="HY106" s="119">
        <f t="shared" si="18"/>
        <v>0</v>
      </c>
      <c r="HZ106" s="119">
        <f t="shared" si="18"/>
        <v>0</v>
      </c>
      <c r="IA106" s="119">
        <f t="shared" si="18"/>
        <v>0</v>
      </c>
      <c r="IB106" s="119">
        <f t="shared" si="18"/>
        <v>0</v>
      </c>
      <c r="IC106" s="119">
        <f t="shared" si="18"/>
        <v>0</v>
      </c>
      <c r="ID106" s="119">
        <f t="shared" si="18"/>
        <v>0</v>
      </c>
      <c r="IE106" s="119">
        <f t="shared" si="18"/>
        <v>0</v>
      </c>
      <c r="IF106" s="119">
        <f t="shared" si="18"/>
        <v>0</v>
      </c>
      <c r="IG106" s="119">
        <f t="shared" si="18"/>
        <v>0</v>
      </c>
      <c r="IH106" s="119">
        <f t="shared" si="18"/>
        <v>0</v>
      </c>
      <c r="II106" s="119">
        <f t="shared" si="18"/>
        <v>0</v>
      </c>
      <c r="IJ106" s="119">
        <f t="shared" si="18"/>
        <v>0</v>
      </c>
      <c r="IK106" s="119">
        <f t="shared" si="18"/>
        <v>0</v>
      </c>
      <c r="IL106" s="119">
        <f t="shared" si="18"/>
        <v>0</v>
      </c>
      <c r="IM106" s="119">
        <f t="shared" si="18"/>
        <v>0</v>
      </c>
      <c r="IN106" s="119">
        <f t="shared" si="18"/>
        <v>0</v>
      </c>
      <c r="IO106" s="119">
        <f t="shared" si="18"/>
        <v>0</v>
      </c>
      <c r="IP106" s="119">
        <f t="shared" si="18"/>
        <v>0</v>
      </c>
      <c r="IQ106" s="119">
        <f t="shared" si="18"/>
        <v>0</v>
      </c>
      <c r="IR106" s="119">
        <f t="shared" si="18"/>
        <v>0</v>
      </c>
      <c r="IS106" s="119">
        <f t="shared" si="18"/>
        <v>0</v>
      </c>
      <c r="IT106" s="119">
        <f t="shared" si="18"/>
        <v>0</v>
      </c>
      <c r="IU106" s="119">
        <f t="shared" si="18"/>
        <v>0</v>
      </c>
      <c r="IV106" s="119">
        <f t="shared" si="18"/>
        <v>0</v>
      </c>
      <c r="IW106" s="119">
        <f t="shared" si="18"/>
        <v>0</v>
      </c>
      <c r="IX106" s="119">
        <f t="shared" ref="IX106:JI106" si="19">IX89+IX105</f>
        <v>0</v>
      </c>
      <c r="IY106" s="119">
        <f t="shared" si="19"/>
        <v>0</v>
      </c>
      <c r="IZ106" s="119">
        <f t="shared" si="19"/>
        <v>0</v>
      </c>
      <c r="JA106" s="119">
        <f t="shared" si="19"/>
        <v>0</v>
      </c>
      <c r="JB106" s="119">
        <f t="shared" si="19"/>
        <v>0</v>
      </c>
      <c r="JC106" s="119">
        <f t="shared" si="19"/>
        <v>0</v>
      </c>
      <c r="JD106" s="119">
        <f t="shared" si="19"/>
        <v>0</v>
      </c>
      <c r="JE106" s="119">
        <f t="shared" si="19"/>
        <v>0</v>
      </c>
      <c r="JF106" s="119">
        <f t="shared" si="19"/>
        <v>0</v>
      </c>
      <c r="JG106" s="119">
        <f t="shared" si="19"/>
        <v>0</v>
      </c>
      <c r="JH106" s="119">
        <f t="shared" si="19"/>
        <v>0</v>
      </c>
      <c r="JI106" s="119">
        <f t="shared" si="19"/>
        <v>9009314.3900000006</v>
      </c>
      <c r="JJ106" s="2"/>
      <c r="JK106" s="2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W126"/>
  <sheetViews>
    <sheetView zoomScale="90" zoomScaleNormal="90" workbookViewId="0">
      <selection activeCell="PZ131" sqref="PZ131"/>
    </sheetView>
  </sheetViews>
  <sheetFormatPr baseColWidth="10" defaultRowHeight="15" x14ac:dyDescent="0.25"/>
  <cols>
    <col min="1" max="1" width="15" style="186" customWidth="1"/>
    <col min="2" max="9" width="12.7109375" style="186" bestFit="1" customWidth="1"/>
    <col min="10" max="10" width="14" style="186" bestFit="1" customWidth="1"/>
    <col min="11" max="18" width="12.7109375" style="186" bestFit="1" customWidth="1"/>
    <col min="19" max="19" width="14" style="186" bestFit="1" customWidth="1"/>
    <col min="20" max="36" width="12.7109375" style="186" bestFit="1" customWidth="1"/>
    <col min="37" max="38" width="14" style="186" bestFit="1" customWidth="1"/>
    <col min="39" max="47" width="12.7109375" style="186" bestFit="1" customWidth="1"/>
    <col min="48" max="48" width="13.85546875" style="186" bestFit="1" customWidth="1"/>
    <col min="49" max="74" width="12.7109375" style="186" bestFit="1" customWidth="1"/>
    <col min="75" max="75" width="13.85546875" style="186" bestFit="1" customWidth="1"/>
    <col min="76" max="89" width="12.7109375" style="186" bestFit="1" customWidth="1"/>
    <col min="90" max="90" width="13.85546875" style="186" bestFit="1" customWidth="1"/>
    <col min="91" max="114" width="12.7109375" style="186" bestFit="1" customWidth="1"/>
    <col min="115" max="115" width="12.85546875" style="186" bestFit="1" customWidth="1"/>
    <col min="116" max="122" width="12.7109375" style="186" bestFit="1" customWidth="1"/>
    <col min="123" max="123" width="13.85546875" style="186" bestFit="1" customWidth="1"/>
    <col min="124" max="130" width="12.7109375" style="186" bestFit="1" customWidth="1"/>
    <col min="131" max="131" width="13.85546875" style="186" bestFit="1" customWidth="1"/>
    <col min="132" max="156" width="12.7109375" style="186" bestFit="1" customWidth="1"/>
    <col min="157" max="157" width="13.85546875" style="186" bestFit="1" customWidth="1"/>
    <col min="158" max="165" width="12.7109375" style="186" bestFit="1" customWidth="1"/>
    <col min="166" max="166" width="14" style="186" bestFit="1" customWidth="1"/>
    <col min="167" max="172" width="12.7109375" style="186" bestFit="1" customWidth="1"/>
    <col min="173" max="173" width="13.85546875" style="186" bestFit="1" customWidth="1"/>
    <col min="174" max="175" width="12.7109375" style="186" bestFit="1" customWidth="1"/>
    <col min="176" max="176" width="14.85546875" style="186" bestFit="1" customWidth="1"/>
    <col min="177" max="198" width="12.7109375" style="186" bestFit="1" customWidth="1"/>
    <col min="199" max="199" width="13.85546875" style="186" bestFit="1" customWidth="1"/>
    <col min="200" max="200" width="14" style="186" bestFit="1" customWidth="1"/>
    <col min="201" max="213" width="12.7109375" style="186" bestFit="1" customWidth="1"/>
    <col min="214" max="214" width="13.85546875" style="186" bestFit="1" customWidth="1"/>
    <col min="215" max="250" width="12.7109375" style="186" bestFit="1" customWidth="1"/>
    <col min="251" max="251" width="14.42578125" style="186" bestFit="1" customWidth="1"/>
    <col min="252" max="268" width="12.7109375" style="186" bestFit="1" customWidth="1"/>
    <col min="269" max="269" width="16" bestFit="1" customWidth="1"/>
    <col min="270" max="270" width="15.5703125" style="316" bestFit="1" customWidth="1"/>
    <col min="271" max="271" width="15.5703125" style="186" bestFit="1" customWidth="1"/>
    <col min="272" max="272" width="16" bestFit="1" customWidth="1"/>
    <col min="273" max="273" width="17.7109375" bestFit="1" customWidth="1"/>
    <col min="276" max="276" width="18.42578125" bestFit="1" customWidth="1"/>
    <col min="1141" max="1141" width="11.42578125" style="1"/>
  </cols>
  <sheetData>
    <row r="1" spans="1:276 1141:1141" ht="23.25" x14ac:dyDescent="0.35">
      <c r="A1" s="410" t="s">
        <v>78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  <c r="AQ1" s="410"/>
      <c r="AR1" s="410"/>
      <c r="AS1" s="410"/>
      <c r="AT1" s="410"/>
      <c r="AU1" s="410"/>
      <c r="AV1" s="410"/>
      <c r="AW1" s="410"/>
      <c r="AX1" s="410"/>
      <c r="AY1" s="410"/>
      <c r="AZ1" s="410"/>
      <c r="BA1" s="410"/>
      <c r="BB1" s="410"/>
      <c r="BC1" s="410"/>
      <c r="BD1" s="410"/>
      <c r="BE1" s="410"/>
      <c r="BF1" s="410"/>
      <c r="BG1" s="410"/>
      <c r="BH1" s="410"/>
      <c r="BI1" s="410"/>
      <c r="BJ1" s="410"/>
      <c r="BK1" s="410"/>
      <c r="BL1" s="410"/>
      <c r="BM1" s="410"/>
      <c r="BN1" s="410"/>
      <c r="BO1" s="410"/>
      <c r="BP1" s="410"/>
      <c r="BQ1" s="410"/>
      <c r="BR1" s="410"/>
      <c r="BS1" s="410"/>
      <c r="BT1" s="410"/>
      <c r="BU1" s="410"/>
      <c r="BV1" s="410"/>
      <c r="BW1" s="410"/>
      <c r="BX1" s="410"/>
      <c r="BY1" s="410"/>
      <c r="BZ1" s="410"/>
      <c r="CA1" s="410"/>
      <c r="CB1" s="410"/>
      <c r="CC1" s="410"/>
      <c r="CD1" s="410"/>
      <c r="CE1" s="410"/>
      <c r="CF1" s="410"/>
      <c r="CG1" s="410"/>
      <c r="CH1" s="410"/>
      <c r="CI1" s="410"/>
      <c r="CJ1" s="410"/>
      <c r="CK1" s="410"/>
      <c r="CL1" s="410"/>
      <c r="CM1" s="410"/>
      <c r="CN1" s="410"/>
      <c r="CO1" s="410"/>
      <c r="CP1" s="410"/>
      <c r="CQ1" s="410"/>
      <c r="CR1" s="410"/>
      <c r="CS1" s="410"/>
      <c r="CT1" s="410"/>
      <c r="CU1" s="410"/>
      <c r="CV1" s="410"/>
      <c r="CW1" s="410"/>
      <c r="CX1" s="410"/>
      <c r="CY1" s="410"/>
      <c r="CZ1" s="410"/>
      <c r="DA1" s="410"/>
      <c r="DB1" s="410"/>
      <c r="DC1" s="410"/>
      <c r="DD1" s="410"/>
      <c r="DE1" s="410"/>
      <c r="DF1" s="410"/>
      <c r="DG1" s="410"/>
      <c r="DH1" s="410"/>
      <c r="DI1" s="410"/>
      <c r="DJ1" s="410"/>
      <c r="DK1" s="410"/>
      <c r="DL1" s="410"/>
      <c r="DM1" s="410"/>
      <c r="DN1" s="410"/>
      <c r="DO1" s="410"/>
      <c r="DP1" s="410"/>
      <c r="DQ1" s="410"/>
      <c r="DR1" s="410"/>
      <c r="DS1" s="410"/>
      <c r="DT1" s="410"/>
      <c r="DU1" s="410"/>
      <c r="DV1" s="410"/>
      <c r="DW1" s="410"/>
      <c r="DX1" s="410"/>
      <c r="DY1" s="410"/>
      <c r="DZ1" s="410"/>
      <c r="EA1" s="410"/>
      <c r="EB1" s="410"/>
      <c r="EC1" s="410"/>
      <c r="ED1" s="410"/>
      <c r="EE1" s="410"/>
      <c r="EF1" s="410"/>
      <c r="EG1" s="410"/>
      <c r="EH1" s="410"/>
      <c r="EI1" s="410"/>
      <c r="EJ1" s="410"/>
      <c r="EK1" s="410"/>
      <c r="EL1" s="410"/>
      <c r="EM1" s="410"/>
      <c r="EN1" s="410"/>
      <c r="EO1" s="410"/>
      <c r="EP1" s="410"/>
      <c r="EQ1" s="410"/>
      <c r="ER1" s="410"/>
      <c r="ES1" s="410"/>
      <c r="ET1" s="410"/>
      <c r="EU1" s="410"/>
      <c r="EV1" s="410"/>
      <c r="EW1" s="410"/>
      <c r="EX1" s="410"/>
      <c r="EY1" s="410"/>
      <c r="EZ1" s="410"/>
      <c r="FA1" s="410"/>
      <c r="FB1" s="410"/>
      <c r="FC1" s="410"/>
      <c r="FD1" s="410"/>
      <c r="FE1" s="410"/>
      <c r="FF1" s="410"/>
      <c r="FG1" s="410"/>
      <c r="FH1" s="410"/>
      <c r="FI1" s="410"/>
      <c r="FJ1" s="410"/>
      <c r="FK1" s="410"/>
      <c r="FL1" s="410"/>
      <c r="FM1" s="410"/>
      <c r="FN1" s="410"/>
      <c r="FO1" s="410"/>
      <c r="FP1" s="410"/>
      <c r="FQ1" s="410"/>
      <c r="FR1" s="410"/>
      <c r="FS1" s="410"/>
      <c r="FT1" s="410"/>
      <c r="FU1" s="410"/>
      <c r="FV1" s="410"/>
      <c r="FW1" s="410"/>
      <c r="FX1" s="410"/>
      <c r="FY1" s="410"/>
      <c r="FZ1" s="410"/>
      <c r="GA1" s="410"/>
      <c r="GB1" s="410"/>
      <c r="GC1" s="410"/>
      <c r="GD1" s="410"/>
      <c r="GE1" s="410"/>
      <c r="GF1" s="410"/>
      <c r="GG1" s="410"/>
      <c r="GH1" s="410"/>
      <c r="GI1" s="410"/>
      <c r="GJ1" s="410"/>
      <c r="GK1" s="410"/>
      <c r="GL1" s="410"/>
      <c r="GM1" s="410"/>
      <c r="GN1" s="410"/>
      <c r="GO1" s="410"/>
      <c r="GP1" s="410"/>
      <c r="GQ1" s="410"/>
      <c r="GR1" s="410"/>
      <c r="GS1" s="410"/>
      <c r="GT1" s="410"/>
      <c r="GU1" s="410"/>
      <c r="GV1" s="410"/>
      <c r="GW1" s="410"/>
      <c r="GX1" s="410"/>
      <c r="GY1" s="410"/>
      <c r="GZ1" s="410"/>
      <c r="HA1" s="410"/>
      <c r="HB1" s="410"/>
      <c r="HC1" s="410"/>
      <c r="HD1" s="410"/>
      <c r="HE1" s="410"/>
      <c r="HF1" s="410"/>
      <c r="HG1" s="410"/>
      <c r="HH1" s="410"/>
      <c r="HI1" s="410"/>
      <c r="HJ1" s="410"/>
      <c r="HK1" s="410"/>
      <c r="HL1" s="410"/>
      <c r="HM1" s="410"/>
      <c r="HN1" s="410"/>
      <c r="HO1" s="410"/>
      <c r="HP1" s="410"/>
      <c r="HQ1" s="410"/>
      <c r="HR1" s="410"/>
      <c r="HS1" s="410"/>
      <c r="HT1" s="410"/>
      <c r="HU1" s="410"/>
      <c r="HV1" s="410"/>
      <c r="HW1" s="410"/>
      <c r="HX1" s="410"/>
      <c r="HY1" s="410"/>
      <c r="HZ1" s="410"/>
      <c r="IA1" s="410"/>
      <c r="IB1" s="410"/>
      <c r="IC1" s="410"/>
      <c r="ID1" s="410"/>
      <c r="IE1" s="410"/>
      <c r="IF1" s="410"/>
      <c r="IG1" s="410"/>
      <c r="IH1" s="410"/>
      <c r="II1" s="410"/>
      <c r="IJ1" s="410"/>
      <c r="IK1" s="410"/>
      <c r="IL1" s="410"/>
      <c r="IM1" s="410"/>
      <c r="IN1" s="410"/>
      <c r="IO1" s="410"/>
      <c r="IP1" s="410"/>
      <c r="IQ1" s="410"/>
      <c r="IR1" s="410"/>
      <c r="IS1" s="410"/>
      <c r="IT1" s="410"/>
      <c r="IU1" s="410"/>
      <c r="IV1" s="410"/>
      <c r="IW1" s="410"/>
      <c r="IX1" s="410"/>
      <c r="IY1" s="410"/>
      <c r="IZ1" s="410"/>
      <c r="JA1" s="410"/>
      <c r="JB1" s="410"/>
      <c r="JC1" s="410"/>
      <c r="JD1" s="410"/>
      <c r="JE1" s="410"/>
      <c r="JF1" s="410"/>
      <c r="JG1" s="410"/>
      <c r="JH1" s="410"/>
    </row>
    <row r="2" spans="1:276 1141:1141" s="271" customFormat="1" ht="18.75" x14ac:dyDescent="0.3">
      <c r="A2" s="267">
        <v>211101</v>
      </c>
      <c r="B2" s="267">
        <v>211102</v>
      </c>
      <c r="C2" s="267">
        <v>211103</v>
      </c>
      <c r="D2" s="267">
        <v>211104</v>
      </c>
      <c r="E2" s="267">
        <v>211105</v>
      </c>
      <c r="F2" s="267">
        <v>211106</v>
      </c>
      <c r="G2" s="267">
        <v>211203</v>
      </c>
      <c r="H2" s="267">
        <v>211205</v>
      </c>
      <c r="I2" s="267">
        <v>211206</v>
      </c>
      <c r="J2" s="267">
        <v>211208</v>
      </c>
      <c r="K2" s="267">
        <v>211209</v>
      </c>
      <c r="L2" s="267">
        <v>211211</v>
      </c>
      <c r="M2" s="267">
        <v>211301</v>
      </c>
      <c r="N2" s="267">
        <v>211401</v>
      </c>
      <c r="O2" s="267">
        <v>211501</v>
      </c>
      <c r="P2" s="267">
        <v>211502</v>
      </c>
      <c r="Q2" s="267">
        <v>211503</v>
      </c>
      <c r="R2" s="267">
        <v>211504</v>
      </c>
      <c r="S2" s="267">
        <v>212101</v>
      </c>
      <c r="T2" s="267">
        <v>212201</v>
      </c>
      <c r="U2" s="267">
        <v>212203</v>
      </c>
      <c r="V2" s="267">
        <v>212204</v>
      </c>
      <c r="W2" s="267">
        <v>212205</v>
      </c>
      <c r="X2" s="267">
        <v>212206</v>
      </c>
      <c r="Y2" s="267">
        <v>212207</v>
      </c>
      <c r="Z2" s="267">
        <v>212208</v>
      </c>
      <c r="AA2" s="267">
        <v>212209</v>
      </c>
      <c r="AB2" s="267">
        <v>212210</v>
      </c>
      <c r="AC2" s="267">
        <v>213101</v>
      </c>
      <c r="AD2" s="267">
        <v>213102</v>
      </c>
      <c r="AE2" s="267">
        <v>213201</v>
      </c>
      <c r="AF2" s="267">
        <v>213202</v>
      </c>
      <c r="AG2" s="267">
        <v>214101</v>
      </c>
      <c r="AH2" s="267">
        <v>214201</v>
      </c>
      <c r="AI2" s="267">
        <v>214202</v>
      </c>
      <c r="AJ2" s="267">
        <v>214203</v>
      </c>
      <c r="AK2" s="267">
        <v>215101</v>
      </c>
      <c r="AL2" s="267">
        <v>215201</v>
      </c>
      <c r="AM2" s="267">
        <v>215301</v>
      </c>
      <c r="AN2" s="267">
        <v>215401</v>
      </c>
      <c r="AO2" s="267">
        <v>221101</v>
      </c>
      <c r="AP2" s="267">
        <v>221201</v>
      </c>
      <c r="AQ2" s="267">
        <v>221301</v>
      </c>
      <c r="AR2" s="267">
        <v>221401</v>
      </c>
      <c r="AS2" s="267">
        <v>221501</v>
      </c>
      <c r="AT2" s="267">
        <v>221601</v>
      </c>
      <c r="AU2" s="267">
        <v>221602</v>
      </c>
      <c r="AV2" s="267">
        <v>221701</v>
      </c>
      <c r="AW2" s="267">
        <v>221801</v>
      </c>
      <c r="AX2" s="267">
        <v>222101</v>
      </c>
      <c r="AY2" s="267">
        <v>222201</v>
      </c>
      <c r="AZ2" s="267">
        <v>223101</v>
      </c>
      <c r="BA2" s="267">
        <v>223201</v>
      </c>
      <c r="BB2" s="267">
        <v>224101</v>
      </c>
      <c r="BC2" s="267">
        <v>224201</v>
      </c>
      <c r="BD2" s="267">
        <v>224301</v>
      </c>
      <c r="BE2" s="267">
        <v>224401</v>
      </c>
      <c r="BF2" s="267">
        <v>225101</v>
      </c>
      <c r="BG2" s="267">
        <v>225201</v>
      </c>
      <c r="BH2" s="267">
        <v>225301</v>
      </c>
      <c r="BI2" s="267">
        <v>225302</v>
      </c>
      <c r="BJ2" s="267">
        <v>225303</v>
      </c>
      <c r="BK2" s="267">
        <v>225304</v>
      </c>
      <c r="BL2" s="267">
        <v>225305</v>
      </c>
      <c r="BM2" s="267">
        <v>225401</v>
      </c>
      <c r="BN2" s="267">
        <v>225501</v>
      </c>
      <c r="BO2" s="267">
        <v>225601</v>
      </c>
      <c r="BP2" s="267">
        <v>225701</v>
      </c>
      <c r="BQ2" s="267">
        <v>225801</v>
      </c>
      <c r="BR2" s="267">
        <v>225901</v>
      </c>
      <c r="BS2" s="267">
        <v>226101</v>
      </c>
      <c r="BT2" s="267">
        <v>226201</v>
      </c>
      <c r="BU2" s="267">
        <v>226301</v>
      </c>
      <c r="BV2" s="267">
        <v>226401</v>
      </c>
      <c r="BW2" s="267">
        <v>227101</v>
      </c>
      <c r="BX2" s="267">
        <v>227102</v>
      </c>
      <c r="BY2" s="267">
        <v>227103</v>
      </c>
      <c r="BZ2" s="267">
        <v>227104</v>
      </c>
      <c r="CA2" s="267">
        <v>227105</v>
      </c>
      <c r="CB2" s="267">
        <v>227106</v>
      </c>
      <c r="CC2" s="267">
        <v>227107</v>
      </c>
      <c r="CD2" s="267">
        <v>227199</v>
      </c>
      <c r="CE2" s="267">
        <v>227201</v>
      </c>
      <c r="CF2" s="267">
        <v>227202</v>
      </c>
      <c r="CG2" s="267">
        <v>227203</v>
      </c>
      <c r="CH2" s="267">
        <v>227204</v>
      </c>
      <c r="CI2" s="267">
        <v>227205</v>
      </c>
      <c r="CJ2" s="267">
        <v>227206</v>
      </c>
      <c r="CK2" s="267">
        <v>227207</v>
      </c>
      <c r="CL2" s="267">
        <v>227208</v>
      </c>
      <c r="CM2" s="267">
        <v>227299</v>
      </c>
      <c r="CN2" s="267">
        <v>227301</v>
      </c>
      <c r="CO2" s="267">
        <v>228101</v>
      </c>
      <c r="CP2" s="267">
        <v>228201</v>
      </c>
      <c r="CQ2" s="267">
        <v>228301</v>
      </c>
      <c r="CR2" s="267">
        <v>228401</v>
      </c>
      <c r="CS2" s="267">
        <v>228501</v>
      </c>
      <c r="CT2" s="267">
        <v>228502</v>
      </c>
      <c r="CU2" s="267">
        <v>228503</v>
      </c>
      <c r="CV2" s="267">
        <v>228601</v>
      </c>
      <c r="CW2" s="267">
        <v>228602</v>
      </c>
      <c r="CX2" s="267">
        <v>228603</v>
      </c>
      <c r="CY2" s="267">
        <v>228604</v>
      </c>
      <c r="CZ2" s="267">
        <v>228701</v>
      </c>
      <c r="DA2" s="267">
        <v>228702</v>
      </c>
      <c r="DB2" s="267">
        <v>228703</v>
      </c>
      <c r="DC2" s="267">
        <v>228704</v>
      </c>
      <c r="DD2" s="267">
        <v>228705</v>
      </c>
      <c r="DE2" s="267">
        <v>228706</v>
      </c>
      <c r="DF2" s="267">
        <v>228801</v>
      </c>
      <c r="DG2" s="267">
        <v>228802</v>
      </c>
      <c r="DH2" s="267">
        <v>228803</v>
      </c>
      <c r="DI2" s="267">
        <v>229201</v>
      </c>
      <c r="DJ2" s="267">
        <v>229203</v>
      </c>
      <c r="DK2" s="267">
        <v>231101</v>
      </c>
      <c r="DL2" s="267">
        <v>231102</v>
      </c>
      <c r="DM2" s="267">
        <v>231201</v>
      </c>
      <c r="DN2" s="267">
        <v>231301</v>
      </c>
      <c r="DO2" s="267">
        <v>231302</v>
      </c>
      <c r="DP2" s="267">
        <v>231303</v>
      </c>
      <c r="DQ2" s="267">
        <v>231401</v>
      </c>
      <c r="DR2" s="267">
        <v>232101</v>
      </c>
      <c r="DS2" s="267">
        <v>232201</v>
      </c>
      <c r="DT2" s="267">
        <v>232301</v>
      </c>
      <c r="DU2" s="267">
        <v>233101</v>
      </c>
      <c r="DV2" s="267">
        <v>233201</v>
      </c>
      <c r="DW2" s="267">
        <v>233301</v>
      </c>
      <c r="DX2" s="267">
        <v>233401</v>
      </c>
      <c r="DY2" s="267">
        <v>233501</v>
      </c>
      <c r="DZ2" s="267">
        <v>233601</v>
      </c>
      <c r="EA2" s="267">
        <v>234101</v>
      </c>
      <c r="EB2" s="267">
        <v>234201</v>
      </c>
      <c r="EC2" s="267">
        <v>235101</v>
      </c>
      <c r="ED2" s="267">
        <v>235201</v>
      </c>
      <c r="EE2" s="267">
        <v>235301</v>
      </c>
      <c r="EF2" s="267">
        <v>235401</v>
      </c>
      <c r="EG2" s="267">
        <v>235501</v>
      </c>
      <c r="EH2" s="267">
        <v>236101</v>
      </c>
      <c r="EI2" s="267">
        <v>236102</v>
      </c>
      <c r="EJ2" s="267">
        <v>236103</v>
      </c>
      <c r="EK2" s="267">
        <v>236104</v>
      </c>
      <c r="EL2" s="267">
        <v>236105</v>
      </c>
      <c r="EM2" s="267">
        <v>236201</v>
      </c>
      <c r="EN2" s="267">
        <v>236202</v>
      </c>
      <c r="EO2" s="267">
        <v>236203</v>
      </c>
      <c r="EP2" s="267">
        <v>236304</v>
      </c>
      <c r="EQ2" s="267">
        <v>236305</v>
      </c>
      <c r="ER2" s="267">
        <v>236306</v>
      </c>
      <c r="ES2" s="267">
        <v>236401</v>
      </c>
      <c r="ET2" s="267">
        <v>236402</v>
      </c>
      <c r="EU2" s="267">
        <v>236403</v>
      </c>
      <c r="EV2" s="267">
        <v>236404</v>
      </c>
      <c r="EW2" s="267">
        <v>236405</v>
      </c>
      <c r="EX2" s="267">
        <v>236406</v>
      </c>
      <c r="EY2" s="267">
        <v>236407</v>
      </c>
      <c r="EZ2" s="267">
        <v>236901</v>
      </c>
      <c r="FA2" s="267">
        <v>237101</v>
      </c>
      <c r="FB2" s="267">
        <v>237102</v>
      </c>
      <c r="FC2" s="267">
        <v>237103</v>
      </c>
      <c r="FD2" s="267">
        <v>237104</v>
      </c>
      <c r="FE2" s="267">
        <v>237105</v>
      </c>
      <c r="FF2" s="267">
        <v>237106</v>
      </c>
      <c r="FG2" s="267">
        <v>237107</v>
      </c>
      <c r="FH2" s="267">
        <v>237201</v>
      </c>
      <c r="FI2" s="267">
        <v>237202</v>
      </c>
      <c r="FJ2" s="267">
        <v>237203</v>
      </c>
      <c r="FK2" s="267">
        <v>237204</v>
      </c>
      <c r="FL2" s="267">
        <v>237205</v>
      </c>
      <c r="FM2" s="267">
        <v>237206</v>
      </c>
      <c r="FN2" s="267">
        <v>237299</v>
      </c>
      <c r="FO2" s="267">
        <v>238101</v>
      </c>
      <c r="FP2" s="267">
        <v>238201</v>
      </c>
      <c r="FQ2" s="267">
        <v>239101</v>
      </c>
      <c r="FR2" s="267">
        <v>239102</v>
      </c>
      <c r="FS2" s="267">
        <v>239201</v>
      </c>
      <c r="FT2" s="267">
        <v>239301</v>
      </c>
      <c r="FU2" s="267">
        <v>239401</v>
      </c>
      <c r="FV2" s="267">
        <v>239501</v>
      </c>
      <c r="FW2" s="267">
        <v>239601</v>
      </c>
      <c r="FX2" s="267">
        <v>239701</v>
      </c>
      <c r="FY2" s="267">
        <v>239801</v>
      </c>
      <c r="FZ2" s="267">
        <v>239802</v>
      </c>
      <c r="GA2" s="267">
        <v>239901</v>
      </c>
      <c r="GB2" s="267">
        <v>239904</v>
      </c>
      <c r="GC2" s="267">
        <v>241201</v>
      </c>
      <c r="GD2" s="267">
        <v>241202</v>
      </c>
      <c r="GE2" s="267">
        <v>241203</v>
      </c>
      <c r="GF2" s="267">
        <v>241204</v>
      </c>
      <c r="GG2" s="267">
        <v>241205</v>
      </c>
      <c r="GH2" s="267">
        <v>261101</v>
      </c>
      <c r="GI2" s="267">
        <v>261201</v>
      </c>
      <c r="GJ2" s="267">
        <v>261301</v>
      </c>
      <c r="GK2" s="267">
        <v>261401</v>
      </c>
      <c r="GL2" s="267">
        <v>261901</v>
      </c>
      <c r="GM2" s="267">
        <v>262101</v>
      </c>
      <c r="GN2" s="267">
        <v>262201</v>
      </c>
      <c r="GO2" s="267">
        <v>262301</v>
      </c>
      <c r="GP2" s="267">
        <v>262401</v>
      </c>
      <c r="GQ2" s="267">
        <v>263101</v>
      </c>
      <c r="GR2" s="267">
        <v>263201</v>
      </c>
      <c r="GS2" s="267">
        <v>263301</v>
      </c>
      <c r="GT2" s="267">
        <v>263401</v>
      </c>
      <c r="GU2" s="267">
        <v>264101</v>
      </c>
      <c r="GV2" s="267">
        <v>264201</v>
      </c>
      <c r="GW2" s="267">
        <v>264301</v>
      </c>
      <c r="GX2" s="267">
        <v>264401</v>
      </c>
      <c r="GY2" s="267">
        <v>264501</v>
      </c>
      <c r="GZ2" s="267">
        <v>264601</v>
      </c>
      <c r="HA2" s="267">
        <v>264701</v>
      </c>
      <c r="HB2" s="267">
        <v>264801</v>
      </c>
      <c r="HC2" s="267">
        <v>265101</v>
      </c>
      <c r="HD2" s="267">
        <v>265201</v>
      </c>
      <c r="HE2" s="267">
        <v>265301</v>
      </c>
      <c r="HF2" s="267">
        <v>265401</v>
      </c>
      <c r="HG2" s="267">
        <v>265501</v>
      </c>
      <c r="HH2" s="267">
        <v>265601</v>
      </c>
      <c r="HI2" s="267">
        <v>265701</v>
      </c>
      <c r="HJ2" s="267">
        <v>265801</v>
      </c>
      <c r="HK2" s="267">
        <v>266101</v>
      </c>
      <c r="HL2" s="267">
        <v>266201</v>
      </c>
      <c r="HM2" s="267">
        <v>267101</v>
      </c>
      <c r="HN2" s="267">
        <v>267201</v>
      </c>
      <c r="HO2" s="267">
        <v>267301</v>
      </c>
      <c r="HP2" s="267">
        <v>267401</v>
      </c>
      <c r="HQ2" s="267">
        <v>267501</v>
      </c>
      <c r="HR2" s="267">
        <v>267601</v>
      </c>
      <c r="HS2" s="267">
        <v>267701</v>
      </c>
      <c r="HT2" s="267">
        <v>267801</v>
      </c>
      <c r="HU2" s="267">
        <v>267901</v>
      </c>
      <c r="HV2" s="267">
        <v>268101</v>
      </c>
      <c r="HW2" s="267">
        <v>268201</v>
      </c>
      <c r="HX2" s="267">
        <v>268301</v>
      </c>
      <c r="HY2" s="267">
        <v>268302</v>
      </c>
      <c r="HZ2" s="267">
        <v>268401</v>
      </c>
      <c r="IA2" s="267">
        <v>268501</v>
      </c>
      <c r="IB2" s="267">
        <v>268601</v>
      </c>
      <c r="IC2" s="267">
        <v>268701</v>
      </c>
      <c r="ID2" s="267">
        <v>268802</v>
      </c>
      <c r="IE2" s="267">
        <v>268803</v>
      </c>
      <c r="IF2" s="267">
        <v>268804</v>
      </c>
      <c r="IG2" s="267">
        <v>268901</v>
      </c>
      <c r="IH2" s="267">
        <v>269101</v>
      </c>
      <c r="II2" s="267">
        <v>269102</v>
      </c>
      <c r="IJ2" s="267">
        <v>269201</v>
      </c>
      <c r="IK2" s="267">
        <v>269202</v>
      </c>
      <c r="IL2" s="267">
        <v>269301</v>
      </c>
      <c r="IM2" s="267">
        <v>269401</v>
      </c>
      <c r="IN2" s="267">
        <v>269501</v>
      </c>
      <c r="IO2" s="267">
        <v>269502</v>
      </c>
      <c r="IP2" s="267">
        <v>269503</v>
      </c>
      <c r="IQ2" s="267">
        <v>2269901</v>
      </c>
      <c r="IR2" s="267">
        <v>271101</v>
      </c>
      <c r="IS2" s="267">
        <v>271201</v>
      </c>
      <c r="IT2" s="267">
        <v>271301</v>
      </c>
      <c r="IU2" s="267">
        <v>271401</v>
      </c>
      <c r="IV2" s="267">
        <v>272101</v>
      </c>
      <c r="IW2" s="267">
        <v>272201</v>
      </c>
      <c r="IX2" s="267">
        <v>272301</v>
      </c>
      <c r="IY2" s="267">
        <v>272401</v>
      </c>
      <c r="IZ2" s="267">
        <v>272501</v>
      </c>
      <c r="JA2" s="267">
        <v>272601</v>
      </c>
      <c r="JB2" s="267">
        <v>272701</v>
      </c>
      <c r="JC2" s="267">
        <v>272801</v>
      </c>
      <c r="JD2" s="267">
        <v>272901</v>
      </c>
      <c r="JE2" s="267">
        <v>273101</v>
      </c>
      <c r="JF2" s="267">
        <v>273201</v>
      </c>
      <c r="JG2" s="267">
        <v>274101</v>
      </c>
      <c r="JH2" s="267">
        <v>274201</v>
      </c>
      <c r="JI2" s="268" t="s">
        <v>0</v>
      </c>
      <c r="JJ2" s="269" t="s">
        <v>850</v>
      </c>
      <c r="JK2" s="272" t="s">
        <v>376</v>
      </c>
      <c r="JL2" s="269" t="s">
        <v>373</v>
      </c>
      <c r="JM2" s="269" t="s">
        <v>377</v>
      </c>
      <c r="JN2" s="269">
        <v>2024</v>
      </c>
      <c r="JO2" s="269" t="s">
        <v>348</v>
      </c>
      <c r="JP2" s="269" t="s">
        <v>378</v>
      </c>
      <c r="AQW2" s="270"/>
    </row>
    <row r="3" spans="1:276 1141:1141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>
        <v>622991.57999999996</v>
      </c>
      <c r="FK3" s="122"/>
      <c r="FL3" s="122"/>
      <c r="FM3" s="122"/>
      <c r="FN3" s="122"/>
      <c r="FO3" s="122"/>
      <c r="FP3" s="122"/>
      <c r="FQ3" s="122">
        <v>52756.9</v>
      </c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675748.48</v>
      </c>
      <c r="JJ3" s="315">
        <v>1778</v>
      </c>
      <c r="JK3" s="122"/>
      <c r="JL3" s="125">
        <f>+JI3-JK3</f>
        <v>675748.48</v>
      </c>
      <c r="JM3" s="125"/>
      <c r="JN3" s="125"/>
      <c r="JO3" s="125">
        <f>+JM3+JN3</f>
        <v>0</v>
      </c>
      <c r="JP3" s="125"/>
    </row>
    <row r="4" spans="1:276 1141:1141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>
        <v>1649337.32</v>
      </c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66" si="0">SUM(A4:JH4)</f>
        <v>1649337.32</v>
      </c>
      <c r="JJ4" s="315">
        <v>1781</v>
      </c>
      <c r="JK4" s="122"/>
      <c r="JL4" s="125">
        <f t="shared" ref="JL4:JL66" si="1">+JI4-JK4</f>
        <v>1649337.32</v>
      </c>
      <c r="JM4" s="125"/>
      <c r="JN4" s="125"/>
      <c r="JO4" s="125"/>
      <c r="JP4" s="125"/>
    </row>
    <row r="5" spans="1:276 1141:1141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>
        <v>645614.72</v>
      </c>
      <c r="FK5" s="122"/>
      <c r="FL5" s="122"/>
      <c r="FM5" s="122"/>
      <c r="FN5" s="122">
        <v>9976</v>
      </c>
      <c r="FO5" s="122"/>
      <c r="FP5" s="122"/>
      <c r="FQ5" s="122">
        <v>161732.4</v>
      </c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817323.12</v>
      </c>
      <c r="JJ5" s="315">
        <v>1785</v>
      </c>
      <c r="JK5" s="122"/>
      <c r="JL5" s="125">
        <f t="shared" si="1"/>
        <v>817323.12</v>
      </c>
      <c r="JM5" s="125"/>
      <c r="JN5" s="125"/>
      <c r="JO5" s="125"/>
      <c r="JP5" s="125"/>
    </row>
    <row r="6" spans="1:276 1141:1141" x14ac:dyDescent="0.2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>
        <v>247068.4</v>
      </c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247068.4</v>
      </c>
      <c r="JJ6" s="315">
        <v>1790</v>
      </c>
      <c r="JK6" s="122"/>
      <c r="JL6" s="125">
        <f t="shared" si="1"/>
        <v>247068.4</v>
      </c>
      <c r="JM6" s="125"/>
      <c r="JN6" s="125"/>
      <c r="JO6" s="125"/>
      <c r="JP6" s="125"/>
    </row>
    <row r="7" spans="1:276 1141:1141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>
        <v>270102</v>
      </c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270102</v>
      </c>
      <c r="JJ7" s="315">
        <v>1801</v>
      </c>
      <c r="JK7" s="122"/>
      <c r="JL7" s="125">
        <f t="shared" si="1"/>
        <v>270102</v>
      </c>
      <c r="JM7" s="125"/>
      <c r="JN7" s="125"/>
      <c r="JO7" s="125"/>
      <c r="JP7" s="125"/>
    </row>
    <row r="8" spans="1:276 1141:1141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>
        <v>939471.75</v>
      </c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939471.75</v>
      </c>
      <c r="JJ8" s="315">
        <v>1805</v>
      </c>
      <c r="JK8" s="122"/>
      <c r="JL8" s="125">
        <f t="shared" si="1"/>
        <v>939471.75</v>
      </c>
      <c r="JM8" s="125"/>
      <c r="JN8" s="125"/>
      <c r="JO8" s="125"/>
      <c r="JP8" s="125"/>
    </row>
    <row r="9" spans="1:276 1141:1141" x14ac:dyDescent="0.25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>
        <v>210000</v>
      </c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210000</v>
      </c>
      <c r="JJ9" s="315">
        <v>1809</v>
      </c>
      <c r="JK9" s="122"/>
      <c r="JL9" s="125">
        <f t="shared" si="1"/>
        <v>210000</v>
      </c>
      <c r="JM9" s="125"/>
      <c r="JN9" s="125"/>
      <c r="JO9" s="125"/>
      <c r="JP9" s="125"/>
    </row>
    <row r="10" spans="1:276 1141:1141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>
        <v>270102</v>
      </c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270102</v>
      </c>
      <c r="JJ10" s="315">
        <v>1813</v>
      </c>
      <c r="JK10" s="122"/>
      <c r="JL10" s="125">
        <f t="shared" si="1"/>
        <v>270102</v>
      </c>
      <c r="JM10" s="125"/>
      <c r="JN10" s="125"/>
      <c r="JO10" s="125"/>
      <c r="JP10" s="125"/>
    </row>
    <row r="11" spans="1:276 1141:1141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>
        <v>91569.9</v>
      </c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91569.9</v>
      </c>
      <c r="JJ11" s="315">
        <v>1820</v>
      </c>
      <c r="JK11" s="122"/>
      <c r="JL11" s="125">
        <f t="shared" si="1"/>
        <v>91569.9</v>
      </c>
      <c r="JM11" s="125"/>
      <c r="JN11" s="125"/>
      <c r="JO11" s="125"/>
      <c r="JP11" s="125"/>
    </row>
    <row r="12" spans="1:276 1141:1141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>
        <v>1937560</v>
      </c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1937560</v>
      </c>
      <c r="JJ12" s="315">
        <v>1835</v>
      </c>
      <c r="JK12" s="122"/>
      <c r="JL12" s="125">
        <f t="shared" si="1"/>
        <v>1937560</v>
      </c>
      <c r="JM12" s="125"/>
      <c r="JN12" s="125"/>
      <c r="JO12" s="125"/>
      <c r="JP12" s="125"/>
    </row>
    <row r="13" spans="1:276 1141:1141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>
        <v>276519</v>
      </c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276519</v>
      </c>
      <c r="JJ13" s="315">
        <v>1839</v>
      </c>
      <c r="JK13" s="122"/>
      <c r="JL13" s="125">
        <f t="shared" si="1"/>
        <v>276519</v>
      </c>
      <c r="JM13" s="125"/>
      <c r="JN13" s="125"/>
      <c r="JO13" s="125"/>
      <c r="JP13" s="125"/>
    </row>
    <row r="14" spans="1:276 1141:1141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>
        <v>443970.11</v>
      </c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443970.11</v>
      </c>
      <c r="JJ14" s="315">
        <v>1841</v>
      </c>
      <c r="JK14" s="122"/>
      <c r="JL14" s="125">
        <f t="shared" si="1"/>
        <v>443970.11</v>
      </c>
      <c r="JM14" s="125"/>
      <c r="JN14" s="125"/>
      <c r="JO14" s="125"/>
      <c r="JP14" s="125"/>
    </row>
    <row r="15" spans="1:276 1141:1141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>
        <v>17133.599999999999</v>
      </c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>
        <v>36875</v>
      </c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54008.6</v>
      </c>
      <c r="JJ15" s="315">
        <v>1845</v>
      </c>
      <c r="JK15" s="122"/>
      <c r="JL15" s="125">
        <f t="shared" si="1"/>
        <v>54008.6</v>
      </c>
      <c r="JM15" s="125"/>
      <c r="JN15" s="125"/>
      <c r="JO15" s="125"/>
      <c r="JP15" s="125"/>
    </row>
    <row r="16" spans="1:276 1141:1141" x14ac:dyDescent="0.2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>
        <v>152500</v>
      </c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152500</v>
      </c>
      <c r="JJ16" s="315">
        <v>1849</v>
      </c>
      <c r="JK16" s="122"/>
      <c r="JL16" s="125">
        <f t="shared" si="1"/>
        <v>152500</v>
      </c>
      <c r="JM16" s="125"/>
      <c r="JN16" s="125"/>
      <c r="JO16" s="125"/>
      <c r="JP16" s="125"/>
    </row>
    <row r="17" spans="1:276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>
        <v>698555.7</v>
      </c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698555.7</v>
      </c>
      <c r="JJ17" s="315">
        <v>1853</v>
      </c>
      <c r="JK17" s="122"/>
      <c r="JL17" s="125">
        <f t="shared" si="1"/>
        <v>698555.7</v>
      </c>
      <c r="JM17" s="125"/>
      <c r="JN17" s="125"/>
      <c r="JO17" s="125"/>
      <c r="JP17" s="125"/>
    </row>
    <row r="18" spans="1:276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>
        <v>271400</v>
      </c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271400</v>
      </c>
      <c r="JJ18" s="315">
        <v>1857</v>
      </c>
      <c r="JK18" s="122"/>
      <c r="JL18" s="125">
        <f t="shared" si="1"/>
        <v>271400</v>
      </c>
      <c r="JM18" s="125"/>
      <c r="JN18" s="125"/>
      <c r="JO18" s="125"/>
      <c r="JP18" s="125"/>
    </row>
    <row r="19" spans="1:276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>
        <v>508060.8</v>
      </c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508060.8</v>
      </c>
      <c r="JJ19" s="315">
        <v>1861</v>
      </c>
      <c r="JK19" s="122"/>
      <c r="JL19" s="125">
        <f t="shared" si="1"/>
        <v>508060.8</v>
      </c>
      <c r="JM19" s="125"/>
      <c r="JN19" s="125"/>
      <c r="JO19" s="125"/>
      <c r="JP19" s="125"/>
    </row>
    <row r="20" spans="1:276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>
        <v>177000</v>
      </c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177000</v>
      </c>
      <c r="JJ20" s="315">
        <v>1865</v>
      </c>
      <c r="JK20" s="122"/>
      <c r="JL20" s="125">
        <f t="shared" si="1"/>
        <v>177000</v>
      </c>
      <c r="JM20" s="125"/>
      <c r="JN20" s="125"/>
      <c r="JO20" s="125"/>
      <c r="JP20" s="125"/>
    </row>
    <row r="21" spans="1:276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>
        <v>57151.44</v>
      </c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57151.44</v>
      </c>
      <c r="JJ21" s="315">
        <v>1873</v>
      </c>
      <c r="JK21" s="122"/>
      <c r="JL21" s="125">
        <f t="shared" si="1"/>
        <v>57151.44</v>
      </c>
      <c r="JM21" s="125"/>
      <c r="JN21" s="125"/>
      <c r="JO21" s="125"/>
      <c r="JP21" s="125"/>
    </row>
    <row r="22" spans="1:276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>
        <v>129520</v>
      </c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129520</v>
      </c>
      <c r="JJ22" s="315">
        <v>1875</v>
      </c>
      <c r="JK22" s="122"/>
      <c r="JL22" s="125">
        <f t="shared" si="1"/>
        <v>129520</v>
      </c>
      <c r="JM22" s="125"/>
      <c r="JN22" s="125"/>
      <c r="JO22" s="125"/>
      <c r="JP22" s="125"/>
    </row>
    <row r="23" spans="1:276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>
        <v>179360</v>
      </c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179360</v>
      </c>
      <c r="JJ23" s="315">
        <v>1879</v>
      </c>
      <c r="JK23" s="122"/>
      <c r="JL23" s="125">
        <f t="shared" si="1"/>
        <v>179360</v>
      </c>
      <c r="JM23" s="125"/>
      <c r="JN23" s="125"/>
      <c r="JO23" s="125"/>
      <c r="JP23" s="125"/>
    </row>
    <row r="24" spans="1:276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>
        <v>199620</v>
      </c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199620</v>
      </c>
      <c r="JJ24" s="315">
        <v>1890</v>
      </c>
      <c r="JK24" s="122"/>
      <c r="JL24" s="125">
        <f t="shared" si="1"/>
        <v>199620</v>
      </c>
      <c r="JM24" s="125"/>
      <c r="JN24" s="125"/>
      <c r="JO24" s="125"/>
      <c r="JP24" s="125"/>
    </row>
    <row r="25" spans="1:276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>
        <v>242945</v>
      </c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242945</v>
      </c>
      <c r="JJ25" s="315">
        <v>1897</v>
      </c>
      <c r="JK25" s="122"/>
      <c r="JL25" s="125">
        <f t="shared" si="1"/>
        <v>242945</v>
      </c>
      <c r="JM25" s="125"/>
      <c r="JN25" s="125"/>
      <c r="JO25" s="125"/>
      <c r="JP25" s="125"/>
    </row>
    <row r="26" spans="1:276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>
        <v>270000</v>
      </c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270000</v>
      </c>
      <c r="JJ26" s="315">
        <v>1900</v>
      </c>
      <c r="JK26" s="122"/>
      <c r="JL26" s="125">
        <f t="shared" si="1"/>
        <v>270000</v>
      </c>
      <c r="JM26" s="125"/>
      <c r="JN26" s="125"/>
      <c r="JO26" s="125"/>
      <c r="JP26" s="125"/>
    </row>
    <row r="27" spans="1:276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>
        <v>44000</v>
      </c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44000</v>
      </c>
      <c r="JJ27" s="315">
        <v>1902</v>
      </c>
      <c r="JK27" s="122"/>
      <c r="JL27" s="125">
        <f t="shared" si="1"/>
        <v>44000</v>
      </c>
      <c r="JM27" s="125"/>
      <c r="JN27" s="125"/>
      <c r="JO27" s="125"/>
      <c r="JP27" s="125"/>
    </row>
    <row r="28" spans="1:276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>
        <v>209745</v>
      </c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209745</v>
      </c>
      <c r="JJ28" s="315">
        <v>1910</v>
      </c>
      <c r="JK28" s="122"/>
      <c r="JL28" s="125">
        <f t="shared" si="1"/>
        <v>209745</v>
      </c>
      <c r="JM28" s="125"/>
      <c r="JN28" s="125"/>
      <c r="JO28" s="125"/>
      <c r="JP28" s="125"/>
    </row>
    <row r="29" spans="1:276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>
        <v>271990</v>
      </c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271990</v>
      </c>
      <c r="JJ29" s="315">
        <v>1917</v>
      </c>
      <c r="JK29" s="122"/>
      <c r="JL29" s="125">
        <f t="shared" si="1"/>
        <v>271990</v>
      </c>
      <c r="JM29" s="125"/>
      <c r="JN29" s="125"/>
      <c r="JO29" s="125"/>
      <c r="JP29" s="125"/>
    </row>
    <row r="30" spans="1:276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5"/>
      <c r="AL30" s="125"/>
      <c r="AM30" s="125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>
        <v>64960</v>
      </c>
      <c r="FK30" s="122"/>
      <c r="FL30" s="122"/>
      <c r="FM30" s="122"/>
      <c r="FN30" s="122"/>
      <c r="FO30" s="122"/>
      <c r="FP30" s="122"/>
      <c r="FQ30" s="122"/>
      <c r="FR30" s="122"/>
      <c r="FS30" s="122"/>
      <c r="FT30" s="122">
        <v>47500</v>
      </c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112460</v>
      </c>
      <c r="JJ30" s="315">
        <v>1920</v>
      </c>
      <c r="JK30" s="122"/>
      <c r="JL30" s="125">
        <f t="shared" si="1"/>
        <v>112460</v>
      </c>
      <c r="JM30" s="125"/>
      <c r="JN30" s="125"/>
      <c r="JO30" s="125"/>
      <c r="JP30" s="125"/>
    </row>
    <row r="31" spans="1:276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>
        <v>205342</v>
      </c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205342</v>
      </c>
      <c r="JJ31" s="315">
        <v>1923</v>
      </c>
      <c r="JK31" s="122"/>
      <c r="JL31" s="125">
        <f t="shared" si="1"/>
        <v>205342</v>
      </c>
      <c r="JM31" s="125"/>
      <c r="JN31" s="125"/>
      <c r="JO31" s="125"/>
      <c r="JP31" s="125"/>
    </row>
    <row r="32" spans="1:276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>
        <v>269657.5</v>
      </c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269657.5</v>
      </c>
      <c r="JJ32" s="315">
        <v>1927</v>
      </c>
      <c r="JK32" s="122"/>
      <c r="JL32" s="125">
        <f t="shared" si="1"/>
        <v>269657.5</v>
      </c>
      <c r="JM32" s="125"/>
      <c r="JN32" s="125"/>
      <c r="JO32" s="125"/>
      <c r="JP32" s="125"/>
    </row>
    <row r="33" spans="1:276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>
        <v>190315</v>
      </c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190315</v>
      </c>
      <c r="JJ33" s="315">
        <v>1931</v>
      </c>
      <c r="JK33" s="122"/>
      <c r="JL33" s="125">
        <f t="shared" si="1"/>
        <v>190315</v>
      </c>
      <c r="JM33" s="125"/>
      <c r="JN33" s="125"/>
      <c r="JO33" s="125"/>
      <c r="JP33" s="125"/>
    </row>
    <row r="34" spans="1:276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>
        <v>250000</v>
      </c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250000</v>
      </c>
      <c r="JJ34" s="315">
        <v>1936</v>
      </c>
      <c r="JK34" s="122"/>
      <c r="JL34" s="125">
        <f t="shared" si="1"/>
        <v>250000</v>
      </c>
      <c r="JM34" s="125"/>
      <c r="JN34" s="125"/>
      <c r="JO34" s="125"/>
      <c r="JP34" s="125"/>
    </row>
    <row r="35" spans="1:276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>
        <v>436930</v>
      </c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436930</v>
      </c>
      <c r="JJ35" s="315">
        <v>1940</v>
      </c>
      <c r="JK35" s="122"/>
      <c r="JL35" s="125">
        <f t="shared" si="1"/>
        <v>436930</v>
      </c>
      <c r="JM35" s="125"/>
      <c r="JN35" s="125"/>
      <c r="JO35" s="125"/>
      <c r="JP35" s="125"/>
    </row>
    <row r="36" spans="1:276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>
        <v>263750</v>
      </c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263750</v>
      </c>
      <c r="JJ36" s="315">
        <v>1944</v>
      </c>
      <c r="JK36" s="122"/>
      <c r="JL36" s="125">
        <f t="shared" si="1"/>
        <v>263750</v>
      </c>
      <c r="JM36" s="125"/>
      <c r="JN36" s="125"/>
      <c r="JO36" s="125"/>
      <c r="JP36" s="125"/>
    </row>
    <row r="37" spans="1:276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>
        <v>160008</v>
      </c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>
        <v>5616.8</v>
      </c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165624.79999999999</v>
      </c>
      <c r="JJ37" s="315">
        <v>1956</v>
      </c>
      <c r="JK37" s="122"/>
      <c r="JL37" s="125">
        <f t="shared" si="1"/>
        <v>165624.79999999999</v>
      </c>
      <c r="JM37" s="125"/>
      <c r="JN37" s="125"/>
      <c r="JO37" s="125"/>
      <c r="JP37" s="125"/>
    </row>
    <row r="38" spans="1:276" x14ac:dyDescent="0.25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>
        <v>115050</v>
      </c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115050</v>
      </c>
      <c r="JJ38" s="315">
        <v>1961</v>
      </c>
      <c r="JK38" s="122"/>
      <c r="JL38" s="125">
        <f t="shared" si="1"/>
        <v>115050</v>
      </c>
      <c r="JM38" s="125"/>
      <c r="JN38" s="125"/>
      <c r="JO38" s="125"/>
      <c r="JP38" s="125"/>
    </row>
    <row r="39" spans="1:276" x14ac:dyDescent="0.2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>
        <v>97704</v>
      </c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97704</v>
      </c>
      <c r="JJ39" s="315">
        <v>1968</v>
      </c>
      <c r="JK39" s="122"/>
      <c r="JL39" s="125">
        <f t="shared" si="1"/>
        <v>97704</v>
      </c>
      <c r="JM39" s="125"/>
      <c r="JN39" s="125"/>
      <c r="JO39" s="125"/>
      <c r="JP39" s="125"/>
    </row>
    <row r="40" spans="1:276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>
        <v>251945</v>
      </c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251945</v>
      </c>
      <c r="JJ40" s="315">
        <v>1969</v>
      </c>
      <c r="JK40" s="122"/>
      <c r="JL40" s="125">
        <f t="shared" si="1"/>
        <v>251945</v>
      </c>
      <c r="JM40" s="125"/>
      <c r="JN40" s="125"/>
      <c r="JO40" s="125"/>
      <c r="JP40" s="125"/>
    </row>
    <row r="41" spans="1:276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>
        <v>132257.5</v>
      </c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132257.5</v>
      </c>
      <c r="JJ41" s="315">
        <v>1975</v>
      </c>
      <c r="JK41" s="122"/>
      <c r="JL41" s="125">
        <f t="shared" si="1"/>
        <v>132257.5</v>
      </c>
      <c r="JM41" s="125"/>
      <c r="JN41" s="125"/>
      <c r="JO41" s="125"/>
      <c r="JP41" s="125"/>
    </row>
    <row r="42" spans="1:276" x14ac:dyDescent="0.2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>
        <v>664800</v>
      </c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664800</v>
      </c>
      <c r="JJ42" s="315">
        <v>1977</v>
      </c>
      <c r="JK42" s="122"/>
      <c r="JL42" s="125">
        <f t="shared" si="1"/>
        <v>664800</v>
      </c>
      <c r="JM42" s="125"/>
      <c r="JN42" s="125"/>
      <c r="JO42" s="125"/>
      <c r="JP42" s="125"/>
    </row>
    <row r="43" spans="1:276" x14ac:dyDescent="0.2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>
        <v>270000</v>
      </c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270000</v>
      </c>
      <c r="JJ43" s="315">
        <v>1982</v>
      </c>
      <c r="JK43" s="122"/>
      <c r="JL43" s="125">
        <f t="shared" si="1"/>
        <v>270000</v>
      </c>
      <c r="JM43" s="125"/>
      <c r="JN43" s="125"/>
      <c r="JO43" s="125"/>
      <c r="JP43" s="125"/>
    </row>
    <row r="44" spans="1:276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>
        <v>234200</v>
      </c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234200</v>
      </c>
      <c r="JJ44" s="315">
        <v>1988</v>
      </c>
      <c r="JK44" s="122"/>
      <c r="JL44" s="125">
        <f t="shared" si="1"/>
        <v>234200</v>
      </c>
      <c r="JM44" s="125"/>
      <c r="JN44" s="125"/>
      <c r="JO44" s="125"/>
      <c r="JP44" s="125"/>
    </row>
    <row r="45" spans="1:276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>
        <v>666086.40000000002</v>
      </c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666086.40000000002</v>
      </c>
      <c r="JJ45" s="315">
        <v>1989</v>
      </c>
      <c r="JK45" s="122"/>
      <c r="JL45" s="125">
        <f t="shared" si="1"/>
        <v>666086.40000000002</v>
      </c>
      <c r="JM45" s="125"/>
      <c r="JN45" s="125"/>
      <c r="JO45" s="125"/>
      <c r="JP45" s="125"/>
    </row>
    <row r="46" spans="1:276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>
        <v>85044.26</v>
      </c>
      <c r="GL46" s="122"/>
      <c r="GM46" s="122">
        <v>47202.36</v>
      </c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132246.62</v>
      </c>
      <c r="JJ46" s="315">
        <v>1995</v>
      </c>
      <c r="JK46" s="122"/>
      <c r="JL46" s="125">
        <f t="shared" si="1"/>
        <v>132246.62</v>
      </c>
      <c r="JM46" s="125"/>
      <c r="JN46" s="125"/>
      <c r="JO46" s="125"/>
      <c r="JP46" s="125"/>
    </row>
    <row r="47" spans="1:276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>
        <v>45000</v>
      </c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45000</v>
      </c>
      <c r="JJ47" s="315">
        <v>1997</v>
      </c>
      <c r="JK47" s="122"/>
      <c r="JL47" s="125">
        <f t="shared" si="1"/>
        <v>45000</v>
      </c>
      <c r="JM47" s="125"/>
      <c r="JN47" s="125"/>
      <c r="JO47" s="125"/>
      <c r="JP47" s="125"/>
    </row>
    <row r="48" spans="1:276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>
        <v>1130531.03</v>
      </c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>
        <v>80154.649999999994</v>
      </c>
      <c r="AL48" s="122">
        <v>80267.7</v>
      </c>
      <c r="AM48" s="122">
        <v>13466.76</v>
      </c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1304420.1399999999</v>
      </c>
      <c r="JJ48" s="315">
        <v>1999</v>
      </c>
      <c r="JK48" s="122"/>
      <c r="JL48" s="125">
        <f t="shared" si="1"/>
        <v>1304420.1399999999</v>
      </c>
      <c r="JM48" s="125"/>
      <c r="JN48" s="125"/>
      <c r="JO48" s="125"/>
      <c r="JP48" s="125"/>
    </row>
    <row r="49" spans="1:276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>
        <v>42480</v>
      </c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>
        <v>144668</v>
      </c>
      <c r="FN49" s="122">
        <v>18000</v>
      </c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205148</v>
      </c>
      <c r="JJ49" s="315">
        <v>2003</v>
      </c>
      <c r="JK49" s="122"/>
      <c r="JL49" s="125">
        <f t="shared" si="1"/>
        <v>205148</v>
      </c>
      <c r="JM49" s="125"/>
      <c r="JN49" s="125"/>
      <c r="JO49" s="125"/>
      <c r="JP49" s="125"/>
    </row>
    <row r="50" spans="1:276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>
        <v>413000</v>
      </c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413000</v>
      </c>
      <c r="JJ50" s="315">
        <v>2007</v>
      </c>
      <c r="JK50" s="122"/>
      <c r="JL50" s="125">
        <f t="shared" si="1"/>
        <v>413000</v>
      </c>
      <c r="JM50" s="125"/>
      <c r="JN50" s="125"/>
      <c r="JO50" s="125"/>
      <c r="JP50" s="125"/>
    </row>
    <row r="51" spans="1:276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>
        <v>17999.98</v>
      </c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17999.98</v>
      </c>
      <c r="JJ51" s="315">
        <v>2011</v>
      </c>
      <c r="JK51" s="122"/>
      <c r="JL51" s="125">
        <f t="shared" si="1"/>
        <v>17999.98</v>
      </c>
      <c r="JM51" s="125"/>
      <c r="JN51" s="125"/>
      <c r="JO51" s="125"/>
      <c r="JP51" s="125"/>
    </row>
    <row r="52" spans="1:276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>
        <v>72717.259999999995</v>
      </c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>
        <v>345560.94</v>
      </c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418278.2</v>
      </c>
      <c r="JJ52" s="315">
        <v>2015</v>
      </c>
      <c r="JK52" s="122"/>
      <c r="JL52" s="125">
        <f t="shared" si="1"/>
        <v>418278.2</v>
      </c>
      <c r="JM52" s="125"/>
      <c r="JN52" s="125"/>
      <c r="JO52" s="125"/>
      <c r="JP52" s="125"/>
    </row>
    <row r="53" spans="1:276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>
        <v>1156400</v>
      </c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1156400</v>
      </c>
      <c r="JJ53" s="315">
        <v>2022</v>
      </c>
      <c r="JK53" s="122"/>
      <c r="JL53" s="125">
        <f t="shared" si="1"/>
        <v>1156400</v>
      </c>
      <c r="JM53" s="125"/>
      <c r="JN53" s="125"/>
      <c r="JO53" s="125"/>
      <c r="JP53" s="125"/>
    </row>
    <row r="54" spans="1:276" x14ac:dyDescent="0.25">
      <c r="A54" s="122">
        <v>53314609.399999999</v>
      </c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>
        <v>2723298.24</v>
      </c>
      <c r="T54" s="122"/>
      <c r="U54" s="122"/>
      <c r="V54" s="122"/>
      <c r="W54" s="122"/>
      <c r="X54" s="122"/>
      <c r="Y54" s="122"/>
      <c r="Z54" s="122">
        <v>334800</v>
      </c>
      <c r="AA54" s="122"/>
      <c r="AB54" s="122">
        <f>91955.28+168584.68</f>
        <v>260539.96</v>
      </c>
      <c r="AC54" s="122"/>
      <c r="AD54" s="122"/>
      <c r="AE54" s="122"/>
      <c r="AF54" s="122"/>
      <c r="AG54" s="122"/>
      <c r="AH54" s="122"/>
      <c r="AI54" s="122"/>
      <c r="AJ54" s="122"/>
      <c r="AK54" s="122">
        <v>3780008.12</v>
      </c>
      <c r="AL54" s="122">
        <v>3785337.72</v>
      </c>
      <c r="AM54" s="122">
        <v>638567.16</v>
      </c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64837160.599999994</v>
      </c>
      <c r="JJ54" s="315">
        <v>2024</v>
      </c>
      <c r="JK54" s="122"/>
      <c r="JL54" s="125">
        <f t="shared" si="1"/>
        <v>64837160.599999994</v>
      </c>
      <c r="JM54" s="125"/>
      <c r="JN54" s="125"/>
      <c r="JO54" s="125"/>
      <c r="JP54" s="125"/>
    </row>
    <row r="55" spans="1:276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>
        <v>216441.5</v>
      </c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216441.5</v>
      </c>
      <c r="JJ55" s="315">
        <v>2028</v>
      </c>
      <c r="JK55" s="122"/>
      <c r="JL55" s="125">
        <f t="shared" si="1"/>
        <v>216441.5</v>
      </c>
      <c r="JM55" s="125"/>
      <c r="JN55" s="125"/>
      <c r="JO55" s="125"/>
      <c r="JP55" s="125"/>
    </row>
    <row r="56" spans="1:276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>
        <v>32889.839999999997</v>
      </c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>
        <v>38403.64</v>
      </c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71293.48</v>
      </c>
      <c r="JJ56" s="315">
        <v>2030</v>
      </c>
      <c r="JK56" s="122"/>
      <c r="JL56" s="125">
        <f t="shared" si="1"/>
        <v>71293.48</v>
      </c>
      <c r="JM56" s="125"/>
      <c r="JN56" s="125"/>
      <c r="JO56" s="125"/>
      <c r="JP56" s="125"/>
    </row>
    <row r="57" spans="1:276" x14ac:dyDescent="0.25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  <c r="BI57" s="125"/>
      <c r="BJ57" s="125"/>
      <c r="BK57" s="125"/>
      <c r="BL57" s="125"/>
      <c r="BM57" s="125"/>
      <c r="BN57" s="125"/>
      <c r="BO57" s="125"/>
      <c r="BP57" s="125"/>
      <c r="BQ57" s="125"/>
      <c r="BR57" s="125"/>
      <c r="BS57" s="125"/>
      <c r="BT57" s="125"/>
      <c r="BU57" s="125"/>
      <c r="BV57" s="125"/>
      <c r="BW57" s="125"/>
      <c r="BX57" s="125"/>
      <c r="BY57" s="125"/>
      <c r="BZ57" s="125"/>
      <c r="CA57" s="125"/>
      <c r="CB57" s="125"/>
      <c r="CC57" s="125"/>
      <c r="CD57" s="125"/>
      <c r="CE57" s="125"/>
      <c r="CF57" s="125"/>
      <c r="CG57" s="125"/>
      <c r="CH57" s="125"/>
      <c r="CI57" s="125"/>
      <c r="CJ57" s="125"/>
      <c r="CK57" s="125"/>
      <c r="CL57" s="125"/>
      <c r="CM57" s="125"/>
      <c r="CN57" s="125"/>
      <c r="CO57" s="125"/>
      <c r="CP57" s="125"/>
      <c r="CQ57" s="125"/>
      <c r="CR57" s="125"/>
      <c r="CS57" s="125"/>
      <c r="CT57" s="125"/>
      <c r="CU57" s="125"/>
      <c r="CV57" s="125"/>
      <c r="CW57" s="125"/>
      <c r="CX57" s="125"/>
      <c r="CY57" s="125"/>
      <c r="CZ57" s="125"/>
      <c r="DA57" s="125"/>
      <c r="DB57" s="125"/>
      <c r="DC57" s="125"/>
      <c r="DD57" s="125"/>
      <c r="DE57" s="125"/>
      <c r="DF57" s="125"/>
      <c r="DG57" s="125"/>
      <c r="DH57" s="125"/>
      <c r="DI57" s="125"/>
      <c r="DJ57" s="125"/>
      <c r="DK57" s="125"/>
      <c r="DL57" s="125"/>
      <c r="DM57" s="125"/>
      <c r="DN57" s="125"/>
      <c r="DO57" s="125"/>
      <c r="DP57" s="125"/>
      <c r="DQ57" s="125"/>
      <c r="DR57" s="125"/>
      <c r="DS57" s="125"/>
      <c r="DT57" s="125"/>
      <c r="DU57" s="125"/>
      <c r="DV57" s="125">
        <v>7590.76</v>
      </c>
      <c r="DW57" s="125"/>
      <c r="DX57" s="125"/>
      <c r="DY57" s="125"/>
      <c r="DZ57" s="125"/>
      <c r="EA57" s="125"/>
      <c r="EB57" s="125"/>
      <c r="EC57" s="125"/>
      <c r="ED57" s="125"/>
      <c r="EE57" s="125"/>
      <c r="EF57" s="125"/>
      <c r="EG57" s="125"/>
      <c r="EH57" s="125"/>
      <c r="EI57" s="125"/>
      <c r="EJ57" s="125"/>
      <c r="EK57" s="125"/>
      <c r="EL57" s="125"/>
      <c r="EM57" s="125"/>
      <c r="EN57" s="125"/>
      <c r="EO57" s="125"/>
      <c r="EP57" s="125"/>
      <c r="EQ57" s="125"/>
      <c r="ER57" s="125"/>
      <c r="ES57" s="125"/>
      <c r="ET57" s="125"/>
      <c r="EU57" s="125"/>
      <c r="EV57" s="125"/>
      <c r="EW57" s="125"/>
      <c r="EX57" s="125"/>
      <c r="EY57" s="125"/>
      <c r="EZ57" s="125"/>
      <c r="FA57" s="125"/>
      <c r="FB57" s="125"/>
      <c r="FC57" s="125"/>
      <c r="FD57" s="125"/>
      <c r="FE57" s="125"/>
      <c r="FF57" s="125"/>
      <c r="FG57" s="125"/>
      <c r="FH57" s="125"/>
      <c r="FI57" s="125"/>
      <c r="FJ57" s="125"/>
      <c r="FK57" s="125"/>
      <c r="FL57" s="125"/>
      <c r="FM57" s="125"/>
      <c r="FN57" s="125"/>
      <c r="FO57" s="125"/>
      <c r="FP57" s="125"/>
      <c r="FQ57" s="125"/>
      <c r="FR57" s="125"/>
      <c r="FS57" s="125"/>
      <c r="FT57" s="125"/>
      <c r="FU57" s="125"/>
      <c r="FV57" s="125"/>
      <c r="FW57" s="125"/>
      <c r="FX57" s="125"/>
      <c r="FY57" s="125"/>
      <c r="FZ57" s="125"/>
      <c r="GA57" s="125"/>
      <c r="GB57" s="125"/>
      <c r="GC57" s="125"/>
      <c r="GD57" s="125"/>
      <c r="GE57" s="125"/>
      <c r="GF57" s="125"/>
      <c r="GG57" s="125"/>
      <c r="GH57" s="125"/>
      <c r="GI57" s="125"/>
      <c r="GJ57" s="125"/>
      <c r="GK57" s="125"/>
      <c r="GL57" s="125"/>
      <c r="GM57" s="125"/>
      <c r="GN57" s="125"/>
      <c r="GO57" s="125"/>
      <c r="GP57" s="125"/>
      <c r="GQ57" s="125"/>
      <c r="GR57" s="125"/>
      <c r="GS57" s="125"/>
      <c r="GT57" s="125"/>
      <c r="GU57" s="125"/>
      <c r="GV57" s="125"/>
      <c r="GW57" s="125"/>
      <c r="GX57" s="125"/>
      <c r="GY57" s="125"/>
      <c r="GZ57" s="125"/>
      <c r="HA57" s="125"/>
      <c r="HB57" s="125"/>
      <c r="HC57" s="125"/>
      <c r="HD57" s="125"/>
      <c r="HE57" s="125"/>
      <c r="HF57" s="125"/>
      <c r="HG57" s="125"/>
      <c r="HH57" s="125"/>
      <c r="HI57" s="125"/>
      <c r="HJ57" s="125"/>
      <c r="HK57" s="125"/>
      <c r="HL57" s="125"/>
      <c r="HM57" s="125"/>
      <c r="HN57" s="125"/>
      <c r="HO57" s="125"/>
      <c r="HP57" s="125"/>
      <c r="HQ57" s="125"/>
      <c r="HR57" s="125"/>
      <c r="HS57" s="125"/>
      <c r="HT57" s="125"/>
      <c r="HU57" s="125"/>
      <c r="HV57" s="125"/>
      <c r="HW57" s="125"/>
      <c r="HX57" s="125"/>
      <c r="HY57" s="125"/>
      <c r="HZ57" s="125"/>
      <c r="IA57" s="125"/>
      <c r="IB57" s="125"/>
      <c r="IC57" s="125"/>
      <c r="ID57" s="125"/>
      <c r="IE57" s="125"/>
      <c r="IF57" s="125"/>
      <c r="IG57" s="125"/>
      <c r="IH57" s="125"/>
      <c r="II57" s="125"/>
      <c r="IJ57" s="125"/>
      <c r="IK57" s="125"/>
      <c r="IL57" s="125"/>
      <c r="IM57" s="125"/>
      <c r="IN57" s="125"/>
      <c r="IO57" s="125"/>
      <c r="IP57" s="125"/>
      <c r="IQ57" s="125"/>
      <c r="IR57" s="125"/>
      <c r="IS57" s="125"/>
      <c r="IT57" s="125"/>
      <c r="IU57" s="125"/>
      <c r="IV57" s="125"/>
      <c r="IW57" s="125"/>
      <c r="IX57" s="125"/>
      <c r="IY57" s="125"/>
      <c r="IZ57" s="125"/>
      <c r="JA57" s="125"/>
      <c r="JB57" s="125"/>
      <c r="JC57" s="125"/>
      <c r="JD57" s="125"/>
      <c r="JE57" s="125"/>
      <c r="JF57" s="125"/>
      <c r="JG57" s="125"/>
      <c r="JH57" s="125"/>
      <c r="JI57" s="119">
        <f t="shared" si="0"/>
        <v>7590.76</v>
      </c>
      <c r="JJ57" s="315">
        <v>2034</v>
      </c>
      <c r="JK57" s="122"/>
      <c r="JL57" s="125">
        <f t="shared" si="1"/>
        <v>7590.76</v>
      </c>
      <c r="JM57" s="1"/>
      <c r="JN57" s="1"/>
      <c r="JO57" s="1"/>
      <c r="JP57" s="1"/>
    </row>
    <row r="58" spans="1:276" x14ac:dyDescent="0.25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  <c r="CW58" s="125"/>
      <c r="CX58" s="125"/>
      <c r="CY58" s="125"/>
      <c r="CZ58" s="125"/>
      <c r="DA58" s="125"/>
      <c r="DB58" s="125"/>
      <c r="DC58" s="125"/>
      <c r="DD58" s="125"/>
      <c r="DE58" s="125"/>
      <c r="DF58" s="125"/>
      <c r="DG58" s="125"/>
      <c r="DH58" s="125"/>
      <c r="DI58" s="125"/>
      <c r="DJ58" s="125"/>
      <c r="DK58" s="125"/>
      <c r="DL58" s="125"/>
      <c r="DM58" s="125"/>
      <c r="DN58" s="125"/>
      <c r="DO58" s="125"/>
      <c r="DP58" s="125"/>
      <c r="DQ58" s="125"/>
      <c r="DR58" s="125"/>
      <c r="DS58" s="125"/>
      <c r="DT58" s="125"/>
      <c r="DU58" s="125"/>
      <c r="DV58" s="125"/>
      <c r="DW58" s="125"/>
      <c r="DX58" s="125"/>
      <c r="DY58" s="125"/>
      <c r="DZ58" s="125"/>
      <c r="EA58" s="125"/>
      <c r="EB58" s="125"/>
      <c r="EC58" s="125"/>
      <c r="ED58" s="125"/>
      <c r="EE58" s="125"/>
      <c r="EF58" s="125"/>
      <c r="EG58" s="125"/>
      <c r="EH58" s="125"/>
      <c r="EI58" s="125"/>
      <c r="EJ58" s="125"/>
      <c r="EK58" s="125"/>
      <c r="EL58" s="125"/>
      <c r="EM58" s="125"/>
      <c r="EN58" s="125"/>
      <c r="EO58" s="125"/>
      <c r="EP58" s="125"/>
      <c r="EQ58" s="125"/>
      <c r="ER58" s="125"/>
      <c r="ES58" s="125"/>
      <c r="ET58" s="125"/>
      <c r="EU58" s="125"/>
      <c r="EV58" s="125"/>
      <c r="EW58" s="125"/>
      <c r="EX58" s="125"/>
      <c r="EY58" s="125"/>
      <c r="EZ58" s="125"/>
      <c r="FA58" s="125"/>
      <c r="FB58" s="125"/>
      <c r="FC58" s="125"/>
      <c r="FD58" s="125"/>
      <c r="FE58" s="125"/>
      <c r="FF58" s="125"/>
      <c r="FG58" s="125"/>
      <c r="FH58" s="125"/>
      <c r="FI58" s="125"/>
      <c r="FJ58" s="125"/>
      <c r="FK58" s="125"/>
      <c r="FL58" s="125"/>
      <c r="FM58" s="125"/>
      <c r="FN58" s="125"/>
      <c r="FO58" s="125"/>
      <c r="FP58" s="125"/>
      <c r="FQ58" s="125"/>
      <c r="FR58" s="125"/>
      <c r="FS58" s="125"/>
      <c r="FT58" s="125"/>
      <c r="FU58" s="125"/>
      <c r="FV58" s="125"/>
      <c r="FW58" s="125"/>
      <c r="FX58" s="125"/>
      <c r="FY58" s="125"/>
      <c r="FZ58" s="125"/>
      <c r="GA58" s="125"/>
      <c r="GB58" s="125"/>
      <c r="GC58" s="125"/>
      <c r="GD58" s="125"/>
      <c r="GE58" s="125"/>
      <c r="GF58" s="125"/>
      <c r="GG58" s="125"/>
      <c r="GH58" s="125"/>
      <c r="GI58" s="125"/>
      <c r="GJ58" s="125">
        <v>40572.730000000003</v>
      </c>
      <c r="GK58" s="125"/>
      <c r="GL58" s="125"/>
      <c r="GM58" s="125"/>
      <c r="GN58" s="125"/>
      <c r="GO58" s="125"/>
      <c r="GP58" s="125">
        <v>135724.38</v>
      </c>
      <c r="GQ58" s="125"/>
      <c r="GR58" s="125"/>
      <c r="GS58" s="125"/>
      <c r="GT58" s="125"/>
      <c r="GU58" s="125"/>
      <c r="GV58" s="125"/>
      <c r="GW58" s="125"/>
      <c r="GX58" s="125"/>
      <c r="GY58" s="125"/>
      <c r="GZ58" s="125"/>
      <c r="HA58" s="125"/>
      <c r="HB58" s="125"/>
      <c r="HC58" s="125"/>
      <c r="HD58" s="125">
        <v>15963.52</v>
      </c>
      <c r="HE58" s="125"/>
      <c r="HF58" s="125"/>
      <c r="HG58" s="125"/>
      <c r="HH58" s="125"/>
      <c r="HI58" s="125"/>
      <c r="HJ58" s="125"/>
      <c r="HK58" s="125"/>
      <c r="HL58" s="125"/>
      <c r="HM58" s="125"/>
      <c r="HN58" s="125"/>
      <c r="HO58" s="125"/>
      <c r="HP58" s="125"/>
      <c r="HQ58" s="125"/>
      <c r="HR58" s="125"/>
      <c r="HS58" s="125"/>
      <c r="HT58" s="125"/>
      <c r="HU58" s="125"/>
      <c r="HV58" s="125"/>
      <c r="HW58" s="125"/>
      <c r="HX58" s="125"/>
      <c r="HY58" s="125"/>
      <c r="HZ58" s="125"/>
      <c r="IA58" s="125"/>
      <c r="IB58" s="125"/>
      <c r="IC58" s="125"/>
      <c r="ID58" s="125"/>
      <c r="IE58" s="125"/>
      <c r="IF58" s="125"/>
      <c r="IG58" s="125"/>
      <c r="IH58" s="125"/>
      <c r="II58" s="125"/>
      <c r="IJ58" s="125"/>
      <c r="IK58" s="125"/>
      <c r="IL58" s="125"/>
      <c r="IM58" s="125"/>
      <c r="IN58" s="125"/>
      <c r="IO58" s="125"/>
      <c r="IP58" s="125"/>
      <c r="IQ58" s="125"/>
      <c r="IR58" s="125"/>
      <c r="IS58" s="125"/>
      <c r="IT58" s="125"/>
      <c r="IU58" s="125"/>
      <c r="IV58" s="125"/>
      <c r="IW58" s="125"/>
      <c r="IX58" s="125"/>
      <c r="IY58" s="125"/>
      <c r="IZ58" s="125"/>
      <c r="JA58" s="125"/>
      <c r="JB58" s="125"/>
      <c r="JC58" s="125"/>
      <c r="JD58" s="125"/>
      <c r="JE58" s="125"/>
      <c r="JF58" s="125"/>
      <c r="JG58" s="125"/>
      <c r="JH58" s="125"/>
      <c r="JI58" s="119">
        <f t="shared" si="0"/>
        <v>192260.63</v>
      </c>
      <c r="JJ58" s="315">
        <v>2038</v>
      </c>
      <c r="JK58" s="122"/>
      <c r="JL58" s="125">
        <f t="shared" si="1"/>
        <v>192260.63</v>
      </c>
      <c r="JM58" s="1"/>
      <c r="JN58" s="1"/>
      <c r="JO58" s="1"/>
      <c r="JP58" s="1"/>
    </row>
    <row r="59" spans="1:276" x14ac:dyDescent="0.25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BQ59" s="125"/>
      <c r="BR59" s="125"/>
      <c r="BS59" s="125"/>
      <c r="BT59" s="125"/>
      <c r="BU59" s="125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125"/>
      <c r="CN59" s="125"/>
      <c r="CO59" s="125"/>
      <c r="CP59" s="125"/>
      <c r="CQ59" s="125"/>
      <c r="CR59" s="125"/>
      <c r="CS59" s="125"/>
      <c r="CT59" s="125"/>
      <c r="CU59" s="125"/>
      <c r="CV59" s="125"/>
      <c r="CW59" s="125"/>
      <c r="CX59" s="125"/>
      <c r="CY59" s="125"/>
      <c r="CZ59" s="125"/>
      <c r="DA59" s="125"/>
      <c r="DB59" s="125"/>
      <c r="DC59" s="125"/>
      <c r="DD59" s="125"/>
      <c r="DE59" s="125"/>
      <c r="DF59" s="125"/>
      <c r="DG59" s="125"/>
      <c r="DH59" s="125"/>
      <c r="DI59" s="125"/>
      <c r="DJ59" s="125"/>
      <c r="DK59" s="125"/>
      <c r="DL59" s="125"/>
      <c r="DM59" s="125"/>
      <c r="DN59" s="125"/>
      <c r="DO59" s="125"/>
      <c r="DP59" s="125"/>
      <c r="DQ59" s="125"/>
      <c r="DR59" s="125"/>
      <c r="DS59" s="125"/>
      <c r="DT59" s="125"/>
      <c r="DU59" s="125"/>
      <c r="DV59" s="125"/>
      <c r="DW59" s="125"/>
      <c r="DX59" s="125"/>
      <c r="DY59" s="125"/>
      <c r="DZ59" s="125"/>
      <c r="EA59" s="125"/>
      <c r="EB59" s="125"/>
      <c r="EC59" s="125"/>
      <c r="ED59" s="125"/>
      <c r="EE59" s="125"/>
      <c r="EF59" s="125"/>
      <c r="EG59" s="125">
        <v>2699.98</v>
      </c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>
        <v>12689.81</v>
      </c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25"/>
      <c r="FV59" s="125"/>
      <c r="FW59" s="125">
        <v>148801.03</v>
      </c>
      <c r="FX59" s="125"/>
      <c r="FY59" s="125"/>
      <c r="FZ59" s="125"/>
      <c r="GA59" s="125"/>
      <c r="GB59" s="125"/>
      <c r="GC59" s="125"/>
      <c r="GD59" s="125"/>
      <c r="GE59" s="125"/>
      <c r="GF59" s="125"/>
      <c r="GG59" s="125"/>
      <c r="GH59" s="125"/>
      <c r="GI59" s="125"/>
      <c r="GJ59" s="125"/>
      <c r="GK59" s="125"/>
      <c r="GL59" s="125"/>
      <c r="GM59" s="125"/>
      <c r="GN59" s="125"/>
      <c r="GO59" s="125"/>
      <c r="GP59" s="125"/>
      <c r="GQ59" s="125"/>
      <c r="GR59" s="125"/>
      <c r="GS59" s="125"/>
      <c r="GT59" s="125"/>
      <c r="GU59" s="125"/>
      <c r="GV59" s="125"/>
      <c r="GW59" s="125"/>
      <c r="GX59" s="125"/>
      <c r="GY59" s="125"/>
      <c r="GZ59" s="125"/>
      <c r="HA59" s="125"/>
      <c r="HB59" s="125"/>
      <c r="HC59" s="125"/>
      <c r="HD59" s="125"/>
      <c r="HE59" s="125"/>
      <c r="HF59" s="125"/>
      <c r="HG59" s="125"/>
      <c r="HH59" s="125"/>
      <c r="HI59" s="125"/>
      <c r="HJ59" s="125"/>
      <c r="HK59" s="125"/>
      <c r="HL59" s="125"/>
      <c r="HM59" s="125"/>
      <c r="HN59" s="125"/>
      <c r="HO59" s="125"/>
      <c r="HP59" s="125"/>
      <c r="HQ59" s="125"/>
      <c r="HR59" s="125"/>
      <c r="HS59" s="125"/>
      <c r="HT59" s="125"/>
      <c r="HU59" s="125"/>
      <c r="HV59" s="125"/>
      <c r="HW59" s="125"/>
      <c r="HX59" s="125"/>
      <c r="HY59" s="125"/>
      <c r="HZ59" s="125"/>
      <c r="IA59" s="125"/>
      <c r="IB59" s="125"/>
      <c r="IC59" s="125"/>
      <c r="ID59" s="125"/>
      <c r="IE59" s="125"/>
      <c r="IF59" s="125"/>
      <c r="IG59" s="125"/>
      <c r="IH59" s="125"/>
      <c r="II59" s="125"/>
      <c r="IJ59" s="125"/>
      <c r="IK59" s="125"/>
      <c r="IL59" s="125"/>
      <c r="IM59" s="125"/>
      <c r="IN59" s="125"/>
      <c r="IO59" s="125"/>
      <c r="IP59" s="125"/>
      <c r="IQ59" s="125"/>
      <c r="IR59" s="125"/>
      <c r="IS59" s="125"/>
      <c r="IT59" s="125"/>
      <c r="IU59" s="125"/>
      <c r="IV59" s="125"/>
      <c r="IW59" s="125"/>
      <c r="IX59" s="125"/>
      <c r="IY59" s="125"/>
      <c r="IZ59" s="125"/>
      <c r="JA59" s="125"/>
      <c r="JB59" s="125"/>
      <c r="JC59" s="125"/>
      <c r="JD59" s="125"/>
      <c r="JE59" s="125"/>
      <c r="JF59" s="125"/>
      <c r="JG59" s="125"/>
      <c r="JH59" s="125"/>
      <c r="JI59" s="119">
        <f t="shared" si="0"/>
        <v>164190.82</v>
      </c>
      <c r="JJ59" s="315">
        <v>2042</v>
      </c>
      <c r="JK59" s="122"/>
      <c r="JL59" s="125">
        <f t="shared" si="1"/>
        <v>164190.82</v>
      </c>
      <c r="JM59" s="1"/>
      <c r="JN59" s="1"/>
      <c r="JO59" s="1"/>
      <c r="JP59" s="1"/>
    </row>
    <row r="60" spans="1:276" x14ac:dyDescent="0.25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  <c r="DB60" s="125"/>
      <c r="DC60" s="125"/>
      <c r="DD60" s="125"/>
      <c r="DE60" s="125"/>
      <c r="DF60" s="125"/>
      <c r="DG60" s="125"/>
      <c r="DH60" s="125"/>
      <c r="DI60" s="125"/>
      <c r="DJ60" s="125"/>
      <c r="DK60" s="125"/>
      <c r="DL60" s="125"/>
      <c r="DM60" s="125"/>
      <c r="DN60" s="125"/>
      <c r="DO60" s="125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/>
      <c r="FU60" s="125"/>
      <c r="FV60" s="125"/>
      <c r="FW60" s="125"/>
      <c r="FX60" s="125"/>
      <c r="FY60" s="125"/>
      <c r="FZ60" s="125"/>
      <c r="GA60" s="125"/>
      <c r="GB60" s="125"/>
      <c r="GC60" s="125"/>
      <c r="GD60" s="125"/>
      <c r="GE60" s="125"/>
      <c r="GF60" s="125"/>
      <c r="GG60" s="125"/>
      <c r="GH60" s="125"/>
      <c r="GI60" s="125"/>
      <c r="GJ60" s="125"/>
      <c r="GK60" s="125">
        <v>33150</v>
      </c>
      <c r="GL60" s="125"/>
      <c r="GM60" s="125"/>
      <c r="GN60" s="125"/>
      <c r="GO60" s="125"/>
      <c r="GP60" s="125"/>
      <c r="GQ60" s="125"/>
      <c r="GR60" s="125"/>
      <c r="GS60" s="125"/>
      <c r="GT60" s="125"/>
      <c r="GU60" s="125"/>
      <c r="GV60" s="125"/>
      <c r="GW60" s="125"/>
      <c r="GX60" s="125"/>
      <c r="GY60" s="125"/>
      <c r="GZ60" s="125"/>
      <c r="HA60" s="125"/>
      <c r="HB60" s="125"/>
      <c r="HC60" s="125"/>
      <c r="HD60" s="125"/>
      <c r="HE60" s="125"/>
      <c r="HF60" s="125"/>
      <c r="HG60" s="125"/>
      <c r="HH60" s="125"/>
      <c r="HI60" s="125">
        <v>32104.99</v>
      </c>
      <c r="HJ60" s="125"/>
      <c r="HK60" s="125"/>
      <c r="HL60" s="125"/>
      <c r="HM60" s="125"/>
      <c r="HN60" s="125"/>
      <c r="HO60" s="125"/>
      <c r="HP60" s="125"/>
      <c r="HQ60" s="125"/>
      <c r="HR60" s="125"/>
      <c r="HS60" s="125"/>
      <c r="HT60" s="125"/>
      <c r="HU60" s="125"/>
      <c r="HV60" s="125"/>
      <c r="HW60" s="125"/>
      <c r="HX60" s="125"/>
      <c r="HY60" s="125"/>
      <c r="HZ60" s="125"/>
      <c r="IA60" s="125"/>
      <c r="IB60" s="125"/>
      <c r="IC60" s="125"/>
      <c r="ID60" s="125"/>
      <c r="IE60" s="125"/>
      <c r="IF60" s="125"/>
      <c r="IG60" s="125"/>
      <c r="IH60" s="125"/>
      <c r="II60" s="125"/>
      <c r="IJ60" s="125"/>
      <c r="IK60" s="125"/>
      <c r="IL60" s="125"/>
      <c r="IM60" s="125"/>
      <c r="IN60" s="125"/>
      <c r="IO60" s="125"/>
      <c r="IP60" s="125"/>
      <c r="IQ60" s="125"/>
      <c r="IR60" s="125"/>
      <c r="IS60" s="125"/>
      <c r="IT60" s="125"/>
      <c r="IU60" s="125"/>
      <c r="IV60" s="125"/>
      <c r="IW60" s="125"/>
      <c r="IX60" s="125"/>
      <c r="IY60" s="125"/>
      <c r="IZ60" s="125"/>
      <c r="JA60" s="125"/>
      <c r="JB60" s="125"/>
      <c r="JC60" s="125"/>
      <c r="JD60" s="125"/>
      <c r="JE60" s="125"/>
      <c r="JF60" s="125"/>
      <c r="JG60" s="125"/>
      <c r="JH60" s="125"/>
      <c r="JI60" s="119">
        <f t="shared" si="0"/>
        <v>65254.990000000005</v>
      </c>
      <c r="JJ60" s="315">
        <v>2046</v>
      </c>
      <c r="JK60" s="122"/>
      <c r="JL60" s="125">
        <f t="shared" si="1"/>
        <v>65254.990000000005</v>
      </c>
      <c r="JM60" s="1"/>
      <c r="JN60" s="1"/>
      <c r="JO60" s="1"/>
      <c r="JP60" s="1"/>
    </row>
    <row r="61" spans="1:276" x14ac:dyDescent="0.25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  <c r="BQ61" s="125"/>
      <c r="BR61" s="125"/>
      <c r="BS61" s="125"/>
      <c r="BT61" s="125"/>
      <c r="BU61" s="125"/>
      <c r="BV61" s="125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  <c r="CL61" s="125"/>
      <c r="CM61" s="125"/>
      <c r="CN61" s="125"/>
      <c r="CO61" s="125"/>
      <c r="CP61" s="125"/>
      <c r="CQ61" s="125"/>
      <c r="CR61" s="125"/>
      <c r="CS61" s="125"/>
      <c r="CT61" s="125"/>
      <c r="CU61" s="125"/>
      <c r="CV61" s="125"/>
      <c r="CW61" s="125"/>
      <c r="CX61" s="125"/>
      <c r="CY61" s="125"/>
      <c r="CZ61" s="125"/>
      <c r="DA61" s="125"/>
      <c r="DB61" s="125"/>
      <c r="DC61" s="125"/>
      <c r="DD61" s="125"/>
      <c r="DE61" s="125"/>
      <c r="DF61" s="125"/>
      <c r="DG61" s="125"/>
      <c r="DH61" s="125"/>
      <c r="DI61" s="125"/>
      <c r="DJ61" s="125"/>
      <c r="DK61" s="125"/>
      <c r="DL61" s="125"/>
      <c r="DM61" s="125"/>
      <c r="DN61" s="125"/>
      <c r="DO61" s="125"/>
      <c r="DP61" s="125"/>
      <c r="DQ61" s="125"/>
      <c r="DR61" s="125"/>
      <c r="DS61" s="125"/>
      <c r="DT61" s="125"/>
      <c r="DU61" s="125"/>
      <c r="DV61" s="125"/>
      <c r="DW61" s="125"/>
      <c r="DX61" s="125"/>
      <c r="DY61" s="125"/>
      <c r="DZ61" s="125"/>
      <c r="EA61" s="125"/>
      <c r="EB61" s="125"/>
      <c r="EC61" s="125"/>
      <c r="ED61" s="125"/>
      <c r="EE61" s="125"/>
      <c r="EF61" s="125"/>
      <c r="EG61" s="125"/>
      <c r="EH61" s="125"/>
      <c r="EI61" s="125"/>
      <c r="EJ61" s="125"/>
      <c r="EK61" s="125"/>
      <c r="EL61" s="125"/>
      <c r="EM61" s="125"/>
      <c r="EN61" s="125"/>
      <c r="EO61" s="125"/>
      <c r="EP61" s="125"/>
      <c r="EQ61" s="125"/>
      <c r="ER61" s="125"/>
      <c r="ES61" s="125"/>
      <c r="ET61" s="125"/>
      <c r="EU61" s="125"/>
      <c r="EV61" s="125"/>
      <c r="EW61" s="125"/>
      <c r="EX61" s="125"/>
      <c r="EY61" s="125"/>
      <c r="EZ61" s="125"/>
      <c r="FA61" s="125"/>
      <c r="FB61" s="125"/>
      <c r="FC61" s="125"/>
      <c r="FD61" s="125"/>
      <c r="FE61" s="125"/>
      <c r="FF61" s="125"/>
      <c r="FG61" s="125"/>
      <c r="FH61" s="125"/>
      <c r="FI61" s="125"/>
      <c r="FJ61" s="125"/>
      <c r="FK61" s="125"/>
      <c r="FL61" s="125"/>
      <c r="FM61" s="125"/>
      <c r="FN61" s="125"/>
      <c r="FO61" s="125"/>
      <c r="FP61" s="125"/>
      <c r="FQ61" s="125"/>
      <c r="FR61" s="125"/>
      <c r="FS61" s="125"/>
      <c r="FT61" s="125"/>
      <c r="FU61" s="125"/>
      <c r="FV61" s="125"/>
      <c r="FW61" s="125"/>
      <c r="FX61" s="125"/>
      <c r="FY61" s="125"/>
      <c r="FZ61" s="125"/>
      <c r="GA61" s="125"/>
      <c r="GB61" s="125"/>
      <c r="GC61" s="125"/>
      <c r="GD61" s="125"/>
      <c r="GE61" s="125"/>
      <c r="GF61" s="125"/>
      <c r="GG61" s="125"/>
      <c r="GH61" s="125"/>
      <c r="GI61" s="125"/>
      <c r="GJ61" s="125"/>
      <c r="GK61" s="125"/>
      <c r="GL61" s="125"/>
      <c r="GM61" s="125"/>
      <c r="GN61" s="125"/>
      <c r="GO61" s="125"/>
      <c r="GP61" s="125"/>
      <c r="GQ61" s="125"/>
      <c r="GR61" s="125"/>
      <c r="GS61" s="125"/>
      <c r="GT61" s="125"/>
      <c r="GU61" s="125"/>
      <c r="GV61" s="125"/>
      <c r="GW61" s="125"/>
      <c r="GX61" s="125"/>
      <c r="GY61" s="125"/>
      <c r="GZ61" s="125"/>
      <c r="HA61" s="125"/>
      <c r="HB61" s="125"/>
      <c r="HC61" s="125"/>
      <c r="HD61" s="125"/>
      <c r="HE61" s="125"/>
      <c r="HF61" s="125">
        <v>70279.62</v>
      </c>
      <c r="HG61" s="125"/>
      <c r="HH61" s="125"/>
      <c r="HI61" s="125"/>
      <c r="HJ61" s="125"/>
      <c r="HK61" s="125"/>
      <c r="HL61" s="125"/>
      <c r="HM61" s="125"/>
      <c r="HN61" s="125"/>
      <c r="HO61" s="125"/>
      <c r="HP61" s="125"/>
      <c r="HQ61" s="125"/>
      <c r="HR61" s="125"/>
      <c r="HS61" s="125"/>
      <c r="HT61" s="125"/>
      <c r="HU61" s="125"/>
      <c r="HV61" s="125"/>
      <c r="HW61" s="125"/>
      <c r="HX61" s="125"/>
      <c r="HY61" s="125"/>
      <c r="HZ61" s="125"/>
      <c r="IA61" s="125"/>
      <c r="IB61" s="125"/>
      <c r="IC61" s="125"/>
      <c r="ID61" s="125"/>
      <c r="IE61" s="125"/>
      <c r="IF61" s="125"/>
      <c r="IG61" s="125"/>
      <c r="IH61" s="125"/>
      <c r="II61" s="125"/>
      <c r="IJ61" s="125"/>
      <c r="IK61" s="125"/>
      <c r="IL61" s="125"/>
      <c r="IM61" s="125"/>
      <c r="IN61" s="125"/>
      <c r="IO61" s="125"/>
      <c r="IP61" s="125"/>
      <c r="IQ61" s="125"/>
      <c r="IR61" s="125"/>
      <c r="IS61" s="125"/>
      <c r="IT61" s="125"/>
      <c r="IU61" s="125"/>
      <c r="IV61" s="125"/>
      <c r="IW61" s="125"/>
      <c r="IX61" s="125"/>
      <c r="IY61" s="125"/>
      <c r="IZ61" s="125"/>
      <c r="JA61" s="125"/>
      <c r="JB61" s="125"/>
      <c r="JC61" s="125"/>
      <c r="JD61" s="125"/>
      <c r="JE61" s="125"/>
      <c r="JF61" s="125"/>
      <c r="JG61" s="125"/>
      <c r="JH61" s="125"/>
      <c r="JI61" s="119">
        <f t="shared" si="0"/>
        <v>70279.62</v>
      </c>
      <c r="JJ61" s="315">
        <v>2052</v>
      </c>
      <c r="JK61" s="122"/>
      <c r="JL61" s="125">
        <f t="shared" si="1"/>
        <v>70279.62</v>
      </c>
      <c r="JM61" s="1"/>
      <c r="JN61" s="1"/>
      <c r="JO61" s="1"/>
      <c r="JP61" s="1"/>
    </row>
    <row r="62" spans="1:276" x14ac:dyDescent="0.25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>
        <v>60535</v>
      </c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  <c r="BQ62" s="125"/>
      <c r="BR62" s="125"/>
      <c r="BS62" s="125"/>
      <c r="BT62" s="125"/>
      <c r="BU62" s="125"/>
      <c r="BV62" s="125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  <c r="CW62" s="125"/>
      <c r="CX62" s="125"/>
      <c r="CY62" s="125"/>
      <c r="CZ62" s="125"/>
      <c r="DA62" s="125"/>
      <c r="DB62" s="125"/>
      <c r="DC62" s="125"/>
      <c r="DD62" s="125"/>
      <c r="DE62" s="125"/>
      <c r="DF62" s="125"/>
      <c r="DG62" s="125"/>
      <c r="DH62" s="125"/>
      <c r="DI62" s="125"/>
      <c r="DJ62" s="125"/>
      <c r="DK62" s="125"/>
      <c r="DL62" s="125"/>
      <c r="DM62" s="125"/>
      <c r="DN62" s="125"/>
      <c r="DO62" s="125"/>
      <c r="DP62" s="125"/>
      <c r="DQ62" s="125"/>
      <c r="DR62" s="125"/>
      <c r="DS62" s="125"/>
      <c r="DT62" s="125"/>
      <c r="DU62" s="125"/>
      <c r="DV62" s="125"/>
      <c r="DW62" s="125"/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  <c r="FQ62" s="125"/>
      <c r="FR62" s="125"/>
      <c r="FS62" s="125"/>
      <c r="FT62" s="125"/>
      <c r="FU62" s="125"/>
      <c r="FV62" s="125"/>
      <c r="FW62" s="125"/>
      <c r="FX62" s="125"/>
      <c r="FY62" s="125"/>
      <c r="FZ62" s="125"/>
      <c r="GA62" s="125"/>
      <c r="GB62" s="125"/>
      <c r="GC62" s="125"/>
      <c r="GD62" s="125"/>
      <c r="GE62" s="125"/>
      <c r="GF62" s="125"/>
      <c r="GG62" s="125"/>
      <c r="GH62" s="125"/>
      <c r="GI62" s="125"/>
      <c r="GJ62" s="125"/>
      <c r="GK62" s="125"/>
      <c r="GL62" s="125"/>
      <c r="GM62" s="125"/>
      <c r="GN62" s="125"/>
      <c r="GO62" s="125"/>
      <c r="GP62" s="125"/>
      <c r="GQ62" s="125"/>
      <c r="GR62" s="125"/>
      <c r="GS62" s="125"/>
      <c r="GT62" s="125"/>
      <c r="GU62" s="125"/>
      <c r="GV62" s="125"/>
      <c r="GW62" s="125"/>
      <c r="GX62" s="125"/>
      <c r="GY62" s="125"/>
      <c r="GZ62" s="125"/>
      <c r="HA62" s="125"/>
      <c r="HB62" s="125"/>
      <c r="HC62" s="125"/>
      <c r="HD62" s="125"/>
      <c r="HE62" s="125"/>
      <c r="HF62" s="125"/>
      <c r="HG62" s="125"/>
      <c r="HH62" s="125"/>
      <c r="HI62" s="125"/>
      <c r="HJ62" s="125"/>
      <c r="HK62" s="125"/>
      <c r="HL62" s="125"/>
      <c r="HM62" s="125"/>
      <c r="HN62" s="125"/>
      <c r="HO62" s="125"/>
      <c r="HP62" s="125"/>
      <c r="HQ62" s="125"/>
      <c r="HR62" s="125"/>
      <c r="HS62" s="125"/>
      <c r="HT62" s="125"/>
      <c r="HU62" s="125"/>
      <c r="HV62" s="125"/>
      <c r="HW62" s="125"/>
      <c r="HX62" s="125"/>
      <c r="HY62" s="125"/>
      <c r="HZ62" s="125"/>
      <c r="IA62" s="125"/>
      <c r="IB62" s="125"/>
      <c r="IC62" s="125"/>
      <c r="ID62" s="125"/>
      <c r="IE62" s="125"/>
      <c r="IF62" s="125"/>
      <c r="IG62" s="125"/>
      <c r="IH62" s="125"/>
      <c r="II62" s="125"/>
      <c r="IJ62" s="125"/>
      <c r="IK62" s="125"/>
      <c r="IL62" s="125"/>
      <c r="IM62" s="125"/>
      <c r="IN62" s="125"/>
      <c r="IO62" s="125"/>
      <c r="IP62" s="125"/>
      <c r="IQ62" s="125"/>
      <c r="IR62" s="125"/>
      <c r="IS62" s="125"/>
      <c r="IT62" s="125"/>
      <c r="IU62" s="125"/>
      <c r="IV62" s="125"/>
      <c r="IW62" s="125"/>
      <c r="IX62" s="125"/>
      <c r="IY62" s="125"/>
      <c r="IZ62" s="125"/>
      <c r="JA62" s="125"/>
      <c r="JB62" s="125"/>
      <c r="JC62" s="125"/>
      <c r="JD62" s="125"/>
      <c r="JE62" s="125"/>
      <c r="JF62" s="125"/>
      <c r="JG62" s="125"/>
      <c r="JH62" s="125"/>
      <c r="JI62" s="119">
        <f t="shared" si="0"/>
        <v>60535</v>
      </c>
      <c r="JJ62" s="315">
        <v>2056</v>
      </c>
      <c r="JK62" s="122"/>
      <c r="JL62" s="125">
        <f t="shared" si="1"/>
        <v>60535</v>
      </c>
      <c r="JM62" s="1"/>
      <c r="JN62" s="1"/>
      <c r="JO62" s="1"/>
      <c r="JP62" s="1"/>
    </row>
    <row r="63" spans="1:276" x14ac:dyDescent="0.25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  <c r="BM63" s="125"/>
      <c r="BN63" s="125"/>
      <c r="BO63" s="125"/>
      <c r="BP63" s="125"/>
      <c r="BQ63" s="125"/>
      <c r="BR63" s="125"/>
      <c r="BS63" s="125"/>
      <c r="BT63" s="125"/>
      <c r="BU63" s="125"/>
      <c r="BV63" s="125"/>
      <c r="BW63" s="125"/>
      <c r="BX63" s="125"/>
      <c r="BY63" s="125"/>
      <c r="BZ63" s="125"/>
      <c r="CA63" s="125"/>
      <c r="CB63" s="125"/>
      <c r="CC63" s="125"/>
      <c r="CD63" s="125"/>
      <c r="CE63" s="125"/>
      <c r="CF63" s="125"/>
      <c r="CG63" s="125"/>
      <c r="CH63" s="125"/>
      <c r="CI63" s="125"/>
      <c r="CJ63" s="125"/>
      <c r="CK63" s="125"/>
      <c r="CL63" s="125"/>
      <c r="CM63" s="125"/>
      <c r="CN63" s="125"/>
      <c r="CO63" s="125"/>
      <c r="CP63" s="125"/>
      <c r="CQ63" s="125"/>
      <c r="CR63" s="125"/>
      <c r="CS63" s="125"/>
      <c r="CT63" s="125"/>
      <c r="CU63" s="125"/>
      <c r="CV63" s="125"/>
      <c r="CW63" s="125"/>
      <c r="CX63" s="125"/>
      <c r="CY63" s="125"/>
      <c r="CZ63" s="125"/>
      <c r="DA63" s="125"/>
      <c r="DB63" s="125"/>
      <c r="DC63" s="125"/>
      <c r="DD63" s="125"/>
      <c r="DE63" s="125"/>
      <c r="DF63" s="125"/>
      <c r="DG63" s="125"/>
      <c r="DH63" s="125"/>
      <c r="DI63" s="125"/>
      <c r="DJ63" s="125"/>
      <c r="DK63" s="125"/>
      <c r="DL63" s="125"/>
      <c r="DM63" s="125"/>
      <c r="DN63" s="125"/>
      <c r="DO63" s="125"/>
      <c r="DP63" s="125"/>
      <c r="DQ63" s="125"/>
      <c r="DR63" s="125"/>
      <c r="DS63" s="125"/>
      <c r="DT63" s="125"/>
      <c r="DU63" s="125"/>
      <c r="DV63" s="125"/>
      <c r="DW63" s="125"/>
      <c r="DX63" s="125"/>
      <c r="DY63" s="125"/>
      <c r="DZ63" s="125"/>
      <c r="EA63" s="125"/>
      <c r="EB63" s="125"/>
      <c r="EC63" s="125"/>
      <c r="ED63" s="125"/>
      <c r="EE63" s="125"/>
      <c r="EF63" s="125"/>
      <c r="EG63" s="125"/>
      <c r="EH63" s="125"/>
      <c r="EI63" s="125"/>
      <c r="EJ63" s="125"/>
      <c r="EK63" s="125"/>
      <c r="EL63" s="125"/>
      <c r="EM63" s="125"/>
      <c r="EN63" s="125"/>
      <c r="EO63" s="125"/>
      <c r="EP63" s="125"/>
      <c r="EQ63" s="125"/>
      <c r="ER63" s="125"/>
      <c r="ES63" s="125"/>
      <c r="ET63" s="125"/>
      <c r="EU63" s="125"/>
      <c r="EV63" s="125"/>
      <c r="EW63" s="125"/>
      <c r="EX63" s="125"/>
      <c r="EY63" s="125"/>
      <c r="EZ63" s="125"/>
      <c r="FA63" s="125"/>
      <c r="FB63" s="125"/>
      <c r="FC63" s="125"/>
      <c r="FD63" s="125"/>
      <c r="FE63" s="125"/>
      <c r="FF63" s="125"/>
      <c r="FG63" s="125"/>
      <c r="FH63" s="125"/>
      <c r="FI63" s="125"/>
      <c r="FJ63" s="125">
        <v>90528</v>
      </c>
      <c r="FK63" s="125"/>
      <c r="FL63" s="125"/>
      <c r="FM63" s="125"/>
      <c r="FN63" s="125"/>
      <c r="FO63" s="125"/>
      <c r="FP63" s="125"/>
      <c r="FQ63" s="125"/>
      <c r="FR63" s="125"/>
      <c r="FS63" s="125"/>
      <c r="FT63" s="125"/>
      <c r="FU63" s="125"/>
      <c r="FV63" s="125"/>
      <c r="FW63" s="125"/>
      <c r="FX63" s="125"/>
      <c r="FY63" s="125"/>
      <c r="FZ63" s="125"/>
      <c r="GA63" s="125"/>
      <c r="GB63" s="125"/>
      <c r="GC63" s="125"/>
      <c r="GD63" s="125"/>
      <c r="GE63" s="125"/>
      <c r="GF63" s="125"/>
      <c r="GG63" s="125"/>
      <c r="GH63" s="125"/>
      <c r="GI63" s="125"/>
      <c r="GJ63" s="125"/>
      <c r="GK63" s="125"/>
      <c r="GL63" s="125"/>
      <c r="GM63" s="125"/>
      <c r="GN63" s="125"/>
      <c r="GO63" s="125"/>
      <c r="GP63" s="125"/>
      <c r="GQ63" s="125"/>
      <c r="GR63" s="125"/>
      <c r="GS63" s="125"/>
      <c r="GT63" s="125"/>
      <c r="GU63" s="125"/>
      <c r="GV63" s="125"/>
      <c r="GW63" s="125"/>
      <c r="GX63" s="125"/>
      <c r="GY63" s="125"/>
      <c r="GZ63" s="125"/>
      <c r="HA63" s="125"/>
      <c r="HB63" s="125"/>
      <c r="HC63" s="125"/>
      <c r="HD63" s="125"/>
      <c r="HE63" s="125"/>
      <c r="HF63" s="125"/>
      <c r="HG63" s="125"/>
      <c r="HH63" s="125"/>
      <c r="HI63" s="125"/>
      <c r="HJ63" s="125"/>
      <c r="HK63" s="125"/>
      <c r="HL63" s="125"/>
      <c r="HM63" s="125"/>
      <c r="HN63" s="125"/>
      <c r="HO63" s="125"/>
      <c r="HP63" s="125"/>
      <c r="HQ63" s="125"/>
      <c r="HR63" s="125"/>
      <c r="HS63" s="125"/>
      <c r="HT63" s="125"/>
      <c r="HU63" s="125"/>
      <c r="HV63" s="125"/>
      <c r="HW63" s="125"/>
      <c r="HX63" s="125"/>
      <c r="HY63" s="125"/>
      <c r="HZ63" s="125"/>
      <c r="IA63" s="125"/>
      <c r="IB63" s="125"/>
      <c r="IC63" s="125"/>
      <c r="ID63" s="125"/>
      <c r="IE63" s="125"/>
      <c r="IF63" s="125"/>
      <c r="IG63" s="125"/>
      <c r="IH63" s="125"/>
      <c r="II63" s="125"/>
      <c r="IJ63" s="125"/>
      <c r="IK63" s="125"/>
      <c r="IL63" s="125"/>
      <c r="IM63" s="125"/>
      <c r="IN63" s="125"/>
      <c r="IO63" s="125"/>
      <c r="IP63" s="125"/>
      <c r="IQ63" s="125"/>
      <c r="IR63" s="125"/>
      <c r="IS63" s="125"/>
      <c r="IT63" s="125"/>
      <c r="IU63" s="125"/>
      <c r="IV63" s="125"/>
      <c r="IW63" s="125"/>
      <c r="IX63" s="125"/>
      <c r="IY63" s="125"/>
      <c r="IZ63" s="125"/>
      <c r="JA63" s="125"/>
      <c r="JB63" s="125"/>
      <c r="JC63" s="125"/>
      <c r="JD63" s="125"/>
      <c r="JE63" s="125"/>
      <c r="JF63" s="125"/>
      <c r="JG63" s="125"/>
      <c r="JH63" s="125"/>
      <c r="JI63" s="119">
        <f t="shared" si="0"/>
        <v>90528</v>
      </c>
      <c r="JJ63" s="315">
        <v>2063</v>
      </c>
      <c r="JK63" s="122"/>
      <c r="JL63" s="125">
        <f t="shared" si="1"/>
        <v>90528</v>
      </c>
      <c r="JM63" s="1"/>
      <c r="JN63" s="1"/>
      <c r="JO63" s="1"/>
      <c r="JP63" s="1"/>
    </row>
    <row r="64" spans="1:276" x14ac:dyDescent="0.25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125"/>
      <c r="BN64" s="125"/>
      <c r="BO64" s="125"/>
      <c r="BP64" s="125"/>
      <c r="BQ64" s="125"/>
      <c r="BR64" s="125"/>
      <c r="BS64" s="125"/>
      <c r="BT64" s="125"/>
      <c r="BU64" s="125"/>
      <c r="BV64" s="125"/>
      <c r="BW64" s="125"/>
      <c r="BX64" s="125"/>
      <c r="BY64" s="125"/>
      <c r="BZ64" s="125"/>
      <c r="CA64" s="125"/>
      <c r="CB64" s="125"/>
      <c r="CC64" s="125"/>
      <c r="CD64" s="125"/>
      <c r="CE64" s="125"/>
      <c r="CF64" s="125"/>
      <c r="CG64" s="125"/>
      <c r="CH64" s="125"/>
      <c r="CI64" s="125"/>
      <c r="CJ64" s="125"/>
      <c r="CK64" s="125"/>
      <c r="CL64" s="125"/>
      <c r="CM64" s="125"/>
      <c r="CN64" s="125"/>
      <c r="CO64" s="125"/>
      <c r="CP64" s="125"/>
      <c r="CQ64" s="125"/>
      <c r="CR64" s="125"/>
      <c r="CS64" s="125"/>
      <c r="CT64" s="125"/>
      <c r="CU64" s="125"/>
      <c r="CV64" s="125"/>
      <c r="CW64" s="125"/>
      <c r="CX64" s="125"/>
      <c r="CY64" s="125"/>
      <c r="CZ64" s="125"/>
      <c r="DA64" s="125"/>
      <c r="DB64" s="125"/>
      <c r="DC64" s="125"/>
      <c r="DD64" s="125"/>
      <c r="DE64" s="125"/>
      <c r="DF64" s="125"/>
      <c r="DG64" s="125"/>
      <c r="DH64" s="125"/>
      <c r="DI64" s="125"/>
      <c r="DJ64" s="125"/>
      <c r="DK64" s="125"/>
      <c r="DL64" s="125"/>
      <c r="DM64" s="125"/>
      <c r="DN64" s="125"/>
      <c r="DO64" s="125"/>
      <c r="DP64" s="125"/>
      <c r="DQ64" s="125"/>
      <c r="DR64" s="125"/>
      <c r="DS64" s="125"/>
      <c r="DT64" s="125"/>
      <c r="DU64" s="125"/>
      <c r="DV64" s="125"/>
      <c r="DW64" s="125"/>
      <c r="DX64" s="125"/>
      <c r="DY64" s="125"/>
      <c r="DZ64" s="125"/>
      <c r="EA64" s="125">
        <v>77000</v>
      </c>
      <c r="EB64" s="125"/>
      <c r="EC64" s="125"/>
      <c r="ED64" s="125"/>
      <c r="EE64" s="125"/>
      <c r="EF64" s="125"/>
      <c r="EG64" s="125"/>
      <c r="EH64" s="125"/>
      <c r="EI64" s="125"/>
      <c r="EJ64" s="125"/>
      <c r="EK64" s="125"/>
      <c r="EL64" s="125"/>
      <c r="EM64" s="125"/>
      <c r="EN64" s="125"/>
      <c r="EO64" s="125"/>
      <c r="EP64" s="125"/>
      <c r="EQ64" s="125"/>
      <c r="ER64" s="125"/>
      <c r="ES64" s="125"/>
      <c r="ET64" s="125"/>
      <c r="EU64" s="125"/>
      <c r="EV64" s="125"/>
      <c r="EW64" s="125"/>
      <c r="EX64" s="125"/>
      <c r="EY64" s="125"/>
      <c r="EZ64" s="125"/>
      <c r="FA64" s="125"/>
      <c r="FB64" s="125"/>
      <c r="FC64" s="125"/>
      <c r="FD64" s="125"/>
      <c r="FE64" s="125"/>
      <c r="FF64" s="125"/>
      <c r="FG64" s="125"/>
      <c r="FH64" s="125"/>
      <c r="FI64" s="125"/>
      <c r="FJ64" s="125"/>
      <c r="FK64" s="125"/>
      <c r="FL64" s="125"/>
      <c r="FM64" s="125"/>
      <c r="FN64" s="125"/>
      <c r="FO64" s="125"/>
      <c r="FP64" s="125"/>
      <c r="FQ64" s="125"/>
      <c r="FR64" s="125"/>
      <c r="FS64" s="125"/>
      <c r="FT64" s="125"/>
      <c r="FU64" s="125"/>
      <c r="FV64" s="125"/>
      <c r="FW64" s="125"/>
      <c r="FX64" s="125"/>
      <c r="FY64" s="125"/>
      <c r="FZ64" s="125"/>
      <c r="GA64" s="125"/>
      <c r="GB64" s="125"/>
      <c r="GC64" s="125"/>
      <c r="GD64" s="125"/>
      <c r="GE64" s="125"/>
      <c r="GF64" s="125"/>
      <c r="GG64" s="125"/>
      <c r="GH64" s="125"/>
      <c r="GI64" s="125"/>
      <c r="GJ64" s="125"/>
      <c r="GK64" s="125"/>
      <c r="GL64" s="125"/>
      <c r="GM64" s="125"/>
      <c r="GN64" s="125"/>
      <c r="GO64" s="125"/>
      <c r="GP64" s="125"/>
      <c r="GQ64" s="125"/>
      <c r="GR64" s="125"/>
      <c r="GS64" s="125"/>
      <c r="GT64" s="125"/>
      <c r="GU64" s="125"/>
      <c r="GV64" s="125"/>
      <c r="GW64" s="125"/>
      <c r="GX64" s="125"/>
      <c r="GY64" s="125"/>
      <c r="GZ64" s="125"/>
      <c r="HA64" s="125"/>
      <c r="HB64" s="125"/>
      <c r="HC64" s="125"/>
      <c r="HD64" s="125"/>
      <c r="HE64" s="125"/>
      <c r="HF64" s="125"/>
      <c r="HG64" s="125"/>
      <c r="HH64" s="125"/>
      <c r="HI64" s="125"/>
      <c r="HJ64" s="125"/>
      <c r="HK64" s="125"/>
      <c r="HL64" s="125"/>
      <c r="HM64" s="125"/>
      <c r="HN64" s="125"/>
      <c r="HO64" s="125"/>
      <c r="HP64" s="125"/>
      <c r="HQ64" s="125"/>
      <c r="HR64" s="125"/>
      <c r="HS64" s="125"/>
      <c r="HT64" s="125"/>
      <c r="HU64" s="125"/>
      <c r="HV64" s="125"/>
      <c r="HW64" s="125"/>
      <c r="HX64" s="125"/>
      <c r="HY64" s="125"/>
      <c r="HZ64" s="125"/>
      <c r="IA64" s="125"/>
      <c r="IB64" s="125"/>
      <c r="IC64" s="125"/>
      <c r="ID64" s="125"/>
      <c r="IE64" s="125"/>
      <c r="IF64" s="125"/>
      <c r="IG64" s="125"/>
      <c r="IH64" s="125"/>
      <c r="II64" s="125"/>
      <c r="IJ64" s="125"/>
      <c r="IK64" s="125"/>
      <c r="IL64" s="125"/>
      <c r="IM64" s="125"/>
      <c r="IN64" s="125"/>
      <c r="IO64" s="125"/>
      <c r="IP64" s="125"/>
      <c r="IQ64" s="125"/>
      <c r="IR64" s="125"/>
      <c r="IS64" s="125"/>
      <c r="IT64" s="125"/>
      <c r="IU64" s="125"/>
      <c r="IV64" s="125"/>
      <c r="IW64" s="125"/>
      <c r="IX64" s="125"/>
      <c r="IY64" s="125"/>
      <c r="IZ64" s="125"/>
      <c r="JA64" s="125"/>
      <c r="JB64" s="125"/>
      <c r="JC64" s="125"/>
      <c r="JD64" s="125"/>
      <c r="JE64" s="125"/>
      <c r="JF64" s="125"/>
      <c r="JG64" s="125"/>
      <c r="JH64" s="125"/>
      <c r="JI64" s="119">
        <f t="shared" si="0"/>
        <v>77000</v>
      </c>
      <c r="JJ64" s="315">
        <v>2067</v>
      </c>
      <c r="JK64" s="122"/>
      <c r="JL64" s="125">
        <f t="shared" si="1"/>
        <v>77000</v>
      </c>
      <c r="JM64" s="1"/>
      <c r="JN64" s="1"/>
      <c r="JO64" s="1"/>
      <c r="JP64" s="1"/>
    </row>
    <row r="65" spans="1:276" x14ac:dyDescent="0.2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5"/>
      <c r="BN65" s="125"/>
      <c r="BO65" s="125"/>
      <c r="BP65" s="125"/>
      <c r="BQ65" s="125"/>
      <c r="BR65" s="125"/>
      <c r="BS65" s="125"/>
      <c r="BT65" s="125"/>
      <c r="BU65" s="125"/>
      <c r="BV65" s="125"/>
      <c r="BW65" s="125"/>
      <c r="BX65" s="125"/>
      <c r="BY65" s="125"/>
      <c r="BZ65" s="125"/>
      <c r="CA65" s="125"/>
      <c r="CB65" s="125"/>
      <c r="CC65" s="125"/>
      <c r="CD65" s="125"/>
      <c r="CE65" s="125"/>
      <c r="CF65" s="125"/>
      <c r="CG65" s="125"/>
      <c r="CH65" s="125"/>
      <c r="CI65" s="125"/>
      <c r="CJ65" s="125"/>
      <c r="CK65" s="125"/>
      <c r="CL65" s="125"/>
      <c r="CM65" s="125"/>
      <c r="CN65" s="125"/>
      <c r="CO65" s="125"/>
      <c r="CP65" s="125"/>
      <c r="CQ65" s="125"/>
      <c r="CR65" s="125"/>
      <c r="CS65" s="125"/>
      <c r="CT65" s="125"/>
      <c r="CU65" s="125"/>
      <c r="CV65" s="125"/>
      <c r="CW65" s="125"/>
      <c r="CX65" s="125"/>
      <c r="CY65" s="125"/>
      <c r="CZ65" s="125"/>
      <c r="DA65" s="125"/>
      <c r="DB65" s="125"/>
      <c r="DC65" s="125"/>
      <c r="DD65" s="125"/>
      <c r="DE65" s="125"/>
      <c r="DF65" s="125"/>
      <c r="DG65" s="125"/>
      <c r="DH65" s="125"/>
      <c r="DI65" s="125"/>
      <c r="DJ65" s="125"/>
      <c r="DK65" s="125"/>
      <c r="DL65" s="125"/>
      <c r="DM65" s="125"/>
      <c r="DN65" s="125"/>
      <c r="DO65" s="125"/>
      <c r="DP65" s="125"/>
      <c r="DQ65" s="125"/>
      <c r="DR65" s="125"/>
      <c r="DS65" s="125"/>
      <c r="DT65" s="125"/>
      <c r="DU65" s="125"/>
      <c r="DV65" s="125"/>
      <c r="DW65" s="125"/>
      <c r="DX65" s="125"/>
      <c r="DY65" s="125"/>
      <c r="DZ65" s="125"/>
      <c r="EA65" s="125"/>
      <c r="EB65" s="125"/>
      <c r="EC65" s="125"/>
      <c r="ED65" s="125"/>
      <c r="EE65" s="125"/>
      <c r="EF65" s="125"/>
      <c r="EG65" s="125"/>
      <c r="EH65" s="125"/>
      <c r="EI65" s="125"/>
      <c r="EJ65" s="125"/>
      <c r="EK65" s="125"/>
      <c r="EL65" s="125"/>
      <c r="EM65" s="125"/>
      <c r="EN65" s="125"/>
      <c r="EO65" s="125"/>
      <c r="EP65" s="125"/>
      <c r="EQ65" s="125"/>
      <c r="ER65" s="125"/>
      <c r="ES65" s="125"/>
      <c r="ET65" s="125"/>
      <c r="EU65" s="125"/>
      <c r="EV65" s="125"/>
      <c r="EW65" s="125"/>
      <c r="EX65" s="125"/>
      <c r="EY65" s="125"/>
      <c r="EZ65" s="125"/>
      <c r="FA65" s="125"/>
      <c r="FB65" s="125"/>
      <c r="FC65" s="125"/>
      <c r="FD65" s="125"/>
      <c r="FE65" s="125"/>
      <c r="FF65" s="125"/>
      <c r="FG65" s="125"/>
      <c r="FH65" s="125"/>
      <c r="FI65" s="125"/>
      <c r="FJ65" s="125"/>
      <c r="FK65" s="125"/>
      <c r="FL65" s="125"/>
      <c r="FM65" s="125"/>
      <c r="FN65" s="125"/>
      <c r="FO65" s="125"/>
      <c r="FP65" s="125"/>
      <c r="FQ65" s="125"/>
      <c r="FR65" s="125"/>
      <c r="FS65" s="125"/>
      <c r="FT65" s="125"/>
      <c r="FU65" s="125"/>
      <c r="FV65" s="125"/>
      <c r="FW65" s="125"/>
      <c r="FX65" s="125"/>
      <c r="FY65" s="125"/>
      <c r="FZ65" s="125"/>
      <c r="GA65" s="125"/>
      <c r="GB65" s="125"/>
      <c r="GC65" s="125"/>
      <c r="GD65" s="125"/>
      <c r="GE65" s="125"/>
      <c r="GF65" s="125"/>
      <c r="GG65" s="125"/>
      <c r="GH65" s="125"/>
      <c r="GI65" s="125"/>
      <c r="GJ65" s="125"/>
      <c r="GK65" s="125"/>
      <c r="GL65" s="125"/>
      <c r="GM65" s="125"/>
      <c r="GN65" s="125"/>
      <c r="GO65" s="125"/>
      <c r="GP65" s="125"/>
      <c r="GQ65" s="125"/>
      <c r="GR65" s="125"/>
      <c r="GS65" s="125"/>
      <c r="GT65" s="125"/>
      <c r="GU65" s="125"/>
      <c r="GV65" s="125"/>
      <c r="GW65" s="125"/>
      <c r="GX65" s="125"/>
      <c r="GY65" s="125"/>
      <c r="GZ65" s="125"/>
      <c r="HA65" s="125"/>
      <c r="HB65" s="125"/>
      <c r="HC65" s="125"/>
      <c r="HD65" s="125"/>
      <c r="HE65" s="125"/>
      <c r="HF65" s="125">
        <v>1575867.52</v>
      </c>
      <c r="HG65" s="125"/>
      <c r="HH65" s="125"/>
      <c r="HI65" s="125"/>
      <c r="HJ65" s="125"/>
      <c r="HK65" s="125"/>
      <c r="HL65" s="125"/>
      <c r="HM65" s="125"/>
      <c r="HN65" s="125"/>
      <c r="HO65" s="125"/>
      <c r="HP65" s="125"/>
      <c r="HQ65" s="125"/>
      <c r="HR65" s="125"/>
      <c r="HS65" s="125"/>
      <c r="HT65" s="125"/>
      <c r="HU65" s="125"/>
      <c r="HV65" s="125"/>
      <c r="HW65" s="125"/>
      <c r="HX65" s="125"/>
      <c r="HY65" s="125"/>
      <c r="HZ65" s="125"/>
      <c r="IA65" s="125"/>
      <c r="IB65" s="125"/>
      <c r="IC65" s="125"/>
      <c r="ID65" s="125"/>
      <c r="IE65" s="125"/>
      <c r="IF65" s="125"/>
      <c r="IG65" s="125"/>
      <c r="IH65" s="125"/>
      <c r="II65" s="125"/>
      <c r="IJ65" s="125"/>
      <c r="IK65" s="125"/>
      <c r="IL65" s="125"/>
      <c r="IM65" s="125"/>
      <c r="IN65" s="125"/>
      <c r="IO65" s="125"/>
      <c r="IP65" s="125"/>
      <c r="IQ65" s="125"/>
      <c r="IR65" s="125"/>
      <c r="IS65" s="125"/>
      <c r="IT65" s="125"/>
      <c r="IU65" s="125"/>
      <c r="IV65" s="125"/>
      <c r="IW65" s="125"/>
      <c r="IX65" s="125"/>
      <c r="IY65" s="125"/>
      <c r="IZ65" s="125"/>
      <c r="JA65" s="125"/>
      <c r="JB65" s="125"/>
      <c r="JC65" s="125"/>
      <c r="JD65" s="125"/>
      <c r="JE65" s="125"/>
      <c r="JF65" s="125"/>
      <c r="JG65" s="125"/>
      <c r="JH65" s="125"/>
      <c r="JI65" s="119">
        <f t="shared" si="0"/>
        <v>1575867.52</v>
      </c>
      <c r="JJ65" s="315">
        <v>2071</v>
      </c>
      <c r="JK65" s="122"/>
      <c r="JL65" s="125">
        <f t="shared" si="1"/>
        <v>1575867.52</v>
      </c>
      <c r="JM65" s="1"/>
      <c r="JN65" s="1"/>
      <c r="JO65" s="1"/>
      <c r="JP65" s="1"/>
    </row>
    <row r="66" spans="1:276" x14ac:dyDescent="0.25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25"/>
      <c r="BQ66" s="125"/>
      <c r="BR66" s="125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  <c r="CW66" s="125"/>
      <c r="CX66" s="125"/>
      <c r="CY66" s="125"/>
      <c r="CZ66" s="125"/>
      <c r="DA66" s="125"/>
      <c r="DB66" s="125"/>
      <c r="DC66" s="125"/>
      <c r="DD66" s="125"/>
      <c r="DE66" s="125"/>
      <c r="DF66" s="125"/>
      <c r="DG66" s="125"/>
      <c r="DH66" s="125"/>
      <c r="DI66" s="125"/>
      <c r="DJ66" s="125"/>
      <c r="DK66" s="125"/>
      <c r="DL66" s="125"/>
      <c r="DM66" s="125"/>
      <c r="DN66" s="125"/>
      <c r="DO66" s="125"/>
      <c r="DP66" s="125"/>
      <c r="DQ66" s="125"/>
      <c r="DR66" s="125"/>
      <c r="DS66" s="125"/>
      <c r="DT66" s="125"/>
      <c r="DU66" s="125"/>
      <c r="DV66" s="125"/>
      <c r="DW66" s="125"/>
      <c r="DX66" s="125"/>
      <c r="DY66" s="125"/>
      <c r="DZ66" s="125"/>
      <c r="EA66" s="125"/>
      <c r="EB66" s="125"/>
      <c r="EC66" s="125"/>
      <c r="ED66" s="125"/>
      <c r="EE66" s="125"/>
      <c r="EF66" s="125"/>
      <c r="EG66" s="125"/>
      <c r="EH66" s="125"/>
      <c r="EI66" s="125"/>
      <c r="EJ66" s="125"/>
      <c r="EK66" s="125"/>
      <c r="EL66" s="125"/>
      <c r="EM66" s="125"/>
      <c r="EN66" s="125"/>
      <c r="EO66" s="125"/>
      <c r="EP66" s="125"/>
      <c r="EQ66" s="125"/>
      <c r="ER66" s="125"/>
      <c r="ES66" s="125"/>
      <c r="ET66" s="125"/>
      <c r="EU66" s="125"/>
      <c r="EV66" s="125"/>
      <c r="EW66" s="125"/>
      <c r="EX66" s="125"/>
      <c r="EY66" s="125"/>
      <c r="EZ66" s="125"/>
      <c r="FA66" s="125"/>
      <c r="FB66" s="125"/>
      <c r="FC66" s="125"/>
      <c r="FD66" s="125"/>
      <c r="FE66" s="125"/>
      <c r="FF66" s="125"/>
      <c r="FG66" s="125"/>
      <c r="FH66" s="125"/>
      <c r="FI66" s="125"/>
      <c r="FJ66" s="125"/>
      <c r="FK66" s="125"/>
      <c r="FL66" s="125"/>
      <c r="FM66" s="125"/>
      <c r="FN66" s="125"/>
      <c r="FO66" s="125"/>
      <c r="FP66" s="125"/>
      <c r="FQ66" s="125"/>
      <c r="FR66" s="125"/>
      <c r="FS66" s="125"/>
      <c r="FT66" s="125"/>
      <c r="FU66" s="125"/>
      <c r="FV66" s="125"/>
      <c r="FW66" s="125"/>
      <c r="FX66" s="125"/>
      <c r="FY66" s="125"/>
      <c r="FZ66" s="125"/>
      <c r="GA66" s="125"/>
      <c r="GB66" s="125"/>
      <c r="GC66" s="125"/>
      <c r="GD66" s="125"/>
      <c r="GE66" s="125"/>
      <c r="GF66" s="125"/>
      <c r="GG66" s="125"/>
      <c r="GH66" s="125"/>
      <c r="GI66" s="125"/>
      <c r="GJ66" s="125"/>
      <c r="GK66" s="125"/>
      <c r="GL66" s="125"/>
      <c r="GM66" s="125"/>
      <c r="GN66" s="125"/>
      <c r="GO66" s="125"/>
      <c r="GP66" s="125"/>
      <c r="GQ66" s="125"/>
      <c r="GR66" s="125"/>
      <c r="GS66" s="125"/>
      <c r="GT66" s="125"/>
      <c r="GU66" s="125"/>
      <c r="GV66" s="125"/>
      <c r="GW66" s="125"/>
      <c r="GX66" s="125"/>
      <c r="GY66" s="125"/>
      <c r="GZ66" s="125"/>
      <c r="HA66" s="125"/>
      <c r="HB66" s="125"/>
      <c r="HC66" s="125"/>
      <c r="HD66" s="125"/>
      <c r="HE66" s="125"/>
      <c r="HF66" s="125">
        <v>1652000</v>
      </c>
      <c r="HG66" s="125"/>
      <c r="HH66" s="125"/>
      <c r="HI66" s="125"/>
      <c r="HJ66" s="125"/>
      <c r="HK66" s="125"/>
      <c r="HL66" s="125"/>
      <c r="HM66" s="125"/>
      <c r="HN66" s="125"/>
      <c r="HO66" s="125"/>
      <c r="HP66" s="125"/>
      <c r="HQ66" s="125"/>
      <c r="HR66" s="125"/>
      <c r="HS66" s="125"/>
      <c r="HT66" s="125"/>
      <c r="HU66" s="125"/>
      <c r="HV66" s="125"/>
      <c r="HW66" s="125"/>
      <c r="HX66" s="125"/>
      <c r="HY66" s="125"/>
      <c r="HZ66" s="125"/>
      <c r="IA66" s="125"/>
      <c r="IB66" s="125"/>
      <c r="IC66" s="125"/>
      <c r="ID66" s="125"/>
      <c r="IE66" s="125"/>
      <c r="IF66" s="125"/>
      <c r="IG66" s="125"/>
      <c r="IH66" s="125"/>
      <c r="II66" s="125"/>
      <c r="IJ66" s="125"/>
      <c r="IK66" s="125"/>
      <c r="IL66" s="125"/>
      <c r="IM66" s="125"/>
      <c r="IN66" s="125"/>
      <c r="IO66" s="125"/>
      <c r="IP66" s="125"/>
      <c r="IQ66" s="125"/>
      <c r="IR66" s="125"/>
      <c r="IS66" s="125"/>
      <c r="IT66" s="125"/>
      <c r="IU66" s="125"/>
      <c r="IV66" s="125"/>
      <c r="IW66" s="125"/>
      <c r="IX66" s="125"/>
      <c r="IY66" s="125"/>
      <c r="IZ66" s="125"/>
      <c r="JA66" s="125"/>
      <c r="JB66" s="125"/>
      <c r="JC66" s="125"/>
      <c r="JD66" s="125"/>
      <c r="JE66" s="125"/>
      <c r="JF66" s="125"/>
      <c r="JG66" s="125"/>
      <c r="JH66" s="125"/>
      <c r="JI66" s="119">
        <f t="shared" si="0"/>
        <v>1652000</v>
      </c>
      <c r="JJ66" s="315">
        <v>2075</v>
      </c>
      <c r="JK66" s="122"/>
      <c r="JL66" s="125">
        <f t="shared" si="1"/>
        <v>1652000</v>
      </c>
      <c r="JM66" s="1"/>
      <c r="JN66" s="1"/>
      <c r="JO66" s="1"/>
      <c r="JP66" s="1"/>
    </row>
    <row r="67" spans="1:276" x14ac:dyDescent="0.25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  <c r="BI67" s="125"/>
      <c r="BJ67" s="125"/>
      <c r="BK67" s="125"/>
      <c r="BL67" s="125"/>
      <c r="BM67" s="125"/>
      <c r="BN67" s="125"/>
      <c r="BO67" s="125"/>
      <c r="BP67" s="125"/>
      <c r="BQ67" s="125"/>
      <c r="BR67" s="125"/>
      <c r="BS67" s="125"/>
      <c r="BT67" s="125"/>
      <c r="BU67" s="125"/>
      <c r="BV67" s="125"/>
      <c r="BW67" s="125"/>
      <c r="BX67" s="125"/>
      <c r="BY67" s="125"/>
      <c r="BZ67" s="125"/>
      <c r="CA67" s="125"/>
      <c r="CB67" s="125"/>
      <c r="CC67" s="125"/>
      <c r="CD67" s="125"/>
      <c r="CE67" s="125"/>
      <c r="CF67" s="125"/>
      <c r="CG67" s="125"/>
      <c r="CH67" s="125"/>
      <c r="CI67" s="125"/>
      <c r="CJ67" s="125"/>
      <c r="CK67" s="125"/>
      <c r="CL67" s="125"/>
      <c r="CM67" s="125"/>
      <c r="CN67" s="125"/>
      <c r="CO67" s="125"/>
      <c r="CP67" s="125"/>
      <c r="CQ67" s="125"/>
      <c r="CR67" s="125"/>
      <c r="CS67" s="125"/>
      <c r="CT67" s="125"/>
      <c r="CU67" s="125"/>
      <c r="CV67" s="125"/>
      <c r="CW67" s="125"/>
      <c r="CX67" s="125"/>
      <c r="CY67" s="125"/>
      <c r="CZ67" s="125"/>
      <c r="DA67" s="125"/>
      <c r="DB67" s="125"/>
      <c r="DC67" s="125"/>
      <c r="DD67" s="125"/>
      <c r="DE67" s="125"/>
      <c r="DF67" s="125"/>
      <c r="DG67" s="125"/>
      <c r="DH67" s="125"/>
      <c r="DI67" s="125"/>
      <c r="DJ67" s="125"/>
      <c r="DK67" s="125"/>
      <c r="DL67" s="125"/>
      <c r="DM67" s="125"/>
      <c r="DN67" s="125"/>
      <c r="DO67" s="125"/>
      <c r="DP67" s="125"/>
      <c r="DQ67" s="125"/>
      <c r="DR67" s="125"/>
      <c r="DS67" s="125"/>
      <c r="DT67" s="125"/>
      <c r="DU67" s="125"/>
      <c r="DV67" s="125"/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25"/>
      <c r="FV67" s="125"/>
      <c r="FW67" s="125"/>
      <c r="FX67" s="125"/>
      <c r="FY67" s="125"/>
      <c r="FZ67" s="125"/>
      <c r="GA67" s="125"/>
      <c r="GB67" s="125"/>
      <c r="GC67" s="125"/>
      <c r="GD67" s="125"/>
      <c r="GE67" s="125"/>
      <c r="GF67" s="125"/>
      <c r="GG67" s="125"/>
      <c r="GH67" s="125"/>
      <c r="GI67" s="125"/>
      <c r="GJ67" s="125"/>
      <c r="GK67" s="125"/>
      <c r="GL67" s="125"/>
      <c r="GM67" s="125"/>
      <c r="GN67" s="125"/>
      <c r="GO67" s="125"/>
      <c r="GP67" s="125"/>
      <c r="GQ67" s="125">
        <v>171592.71</v>
      </c>
      <c r="GR67" s="125"/>
      <c r="GS67" s="125"/>
      <c r="GT67" s="125"/>
      <c r="GU67" s="125"/>
      <c r="GV67" s="125"/>
      <c r="GW67" s="125"/>
      <c r="GX67" s="125"/>
      <c r="GY67" s="125"/>
      <c r="GZ67" s="125"/>
      <c r="HA67" s="125"/>
      <c r="HB67" s="125"/>
      <c r="HC67" s="125"/>
      <c r="HD67" s="125"/>
      <c r="HE67" s="125"/>
      <c r="HF67" s="125"/>
      <c r="HG67" s="125"/>
      <c r="HH67" s="125"/>
      <c r="HI67" s="125"/>
      <c r="HJ67" s="125"/>
      <c r="HK67" s="125"/>
      <c r="HL67" s="125"/>
      <c r="HM67" s="125"/>
      <c r="HN67" s="125"/>
      <c r="HO67" s="125"/>
      <c r="HP67" s="125"/>
      <c r="HQ67" s="125"/>
      <c r="HR67" s="125"/>
      <c r="HS67" s="125"/>
      <c r="HT67" s="125"/>
      <c r="HU67" s="125"/>
      <c r="HV67" s="125"/>
      <c r="HW67" s="125"/>
      <c r="HX67" s="125"/>
      <c r="HY67" s="125"/>
      <c r="HZ67" s="125"/>
      <c r="IA67" s="125"/>
      <c r="IB67" s="125"/>
      <c r="IC67" s="125"/>
      <c r="ID67" s="125"/>
      <c r="IE67" s="125"/>
      <c r="IF67" s="125"/>
      <c r="IG67" s="125"/>
      <c r="IH67" s="125"/>
      <c r="II67" s="125"/>
      <c r="IJ67" s="125"/>
      <c r="IK67" s="125"/>
      <c r="IL67" s="125"/>
      <c r="IM67" s="125"/>
      <c r="IN67" s="125"/>
      <c r="IO67" s="125"/>
      <c r="IP67" s="125"/>
      <c r="IQ67" s="125"/>
      <c r="IR67" s="125"/>
      <c r="IS67" s="125"/>
      <c r="IT67" s="125"/>
      <c r="IU67" s="125"/>
      <c r="IV67" s="125"/>
      <c r="IW67" s="125"/>
      <c r="IX67" s="125"/>
      <c r="IY67" s="125"/>
      <c r="IZ67" s="125"/>
      <c r="JA67" s="125"/>
      <c r="JB67" s="125"/>
      <c r="JC67" s="125"/>
      <c r="JD67" s="125"/>
      <c r="JE67" s="125"/>
      <c r="JF67" s="125"/>
      <c r="JG67" s="125"/>
      <c r="JH67" s="125"/>
      <c r="JI67" s="119">
        <f t="shared" ref="JI67:JI99" si="2">SUM(A67:JH67)</f>
        <v>171592.71</v>
      </c>
      <c r="JJ67" s="315">
        <v>2080</v>
      </c>
      <c r="JK67" s="122"/>
      <c r="JL67" s="125">
        <f t="shared" ref="JL67:JL125" si="3">+JI67-JK67</f>
        <v>171592.71</v>
      </c>
      <c r="JM67" s="1"/>
      <c r="JN67" s="1"/>
      <c r="JO67" s="1"/>
      <c r="JP67" s="1"/>
    </row>
    <row r="68" spans="1:276" x14ac:dyDescent="0.25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  <c r="BM68" s="125"/>
      <c r="BN68" s="125"/>
      <c r="BO68" s="125"/>
      <c r="BP68" s="125"/>
      <c r="BQ68" s="125"/>
      <c r="BR68" s="125"/>
      <c r="BS68" s="125"/>
      <c r="BT68" s="125"/>
      <c r="BU68" s="125"/>
      <c r="BV68" s="125"/>
      <c r="BW68" s="125"/>
      <c r="BX68" s="125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  <c r="CL68" s="125"/>
      <c r="CM68" s="125"/>
      <c r="CN68" s="125"/>
      <c r="CO68" s="125"/>
      <c r="CP68" s="125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  <c r="DE68" s="125"/>
      <c r="DF68" s="125"/>
      <c r="DG68" s="125"/>
      <c r="DH68" s="125"/>
      <c r="DI68" s="125"/>
      <c r="DJ68" s="125"/>
      <c r="DK68" s="125"/>
      <c r="DL68" s="125"/>
      <c r="DM68" s="125"/>
      <c r="DN68" s="125"/>
      <c r="DO68" s="125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>
        <v>73089.2</v>
      </c>
      <c r="FR68" s="125"/>
      <c r="FS68" s="125"/>
      <c r="FT68" s="125"/>
      <c r="FU68" s="125"/>
      <c r="FV68" s="125"/>
      <c r="FW68" s="125"/>
      <c r="FX68" s="125"/>
      <c r="FY68" s="125"/>
      <c r="FZ68" s="125"/>
      <c r="GA68" s="125"/>
      <c r="GB68" s="125"/>
      <c r="GC68" s="125"/>
      <c r="GD68" s="125"/>
      <c r="GE68" s="125"/>
      <c r="GF68" s="125"/>
      <c r="GG68" s="125"/>
      <c r="GH68" s="125"/>
      <c r="GI68" s="125"/>
      <c r="GJ68" s="125"/>
      <c r="GK68" s="125"/>
      <c r="GL68" s="125"/>
      <c r="GM68" s="125"/>
      <c r="GN68" s="125"/>
      <c r="GO68" s="125"/>
      <c r="GP68" s="125"/>
      <c r="GQ68" s="125"/>
      <c r="GR68" s="125"/>
      <c r="GS68" s="125"/>
      <c r="GT68" s="125"/>
      <c r="GU68" s="125"/>
      <c r="GV68" s="125"/>
      <c r="GW68" s="125"/>
      <c r="GX68" s="125"/>
      <c r="GY68" s="125"/>
      <c r="GZ68" s="125"/>
      <c r="HA68" s="125"/>
      <c r="HB68" s="125"/>
      <c r="HC68" s="125"/>
      <c r="HD68" s="125"/>
      <c r="HE68" s="125"/>
      <c r="HF68" s="125"/>
      <c r="HG68" s="125"/>
      <c r="HH68" s="125"/>
      <c r="HI68" s="125"/>
      <c r="HJ68" s="125"/>
      <c r="HK68" s="125"/>
      <c r="HL68" s="125"/>
      <c r="HM68" s="125"/>
      <c r="HN68" s="125"/>
      <c r="HO68" s="125"/>
      <c r="HP68" s="125"/>
      <c r="HQ68" s="125"/>
      <c r="HR68" s="125"/>
      <c r="HS68" s="125"/>
      <c r="HT68" s="125"/>
      <c r="HU68" s="125"/>
      <c r="HV68" s="125"/>
      <c r="HW68" s="125"/>
      <c r="HX68" s="125"/>
      <c r="HY68" s="125"/>
      <c r="HZ68" s="125"/>
      <c r="IA68" s="125"/>
      <c r="IB68" s="125"/>
      <c r="IC68" s="125"/>
      <c r="ID68" s="125"/>
      <c r="IE68" s="125"/>
      <c r="IF68" s="125"/>
      <c r="IG68" s="125"/>
      <c r="IH68" s="125"/>
      <c r="II68" s="125"/>
      <c r="IJ68" s="125"/>
      <c r="IK68" s="125"/>
      <c r="IL68" s="125"/>
      <c r="IM68" s="125"/>
      <c r="IN68" s="125"/>
      <c r="IO68" s="125"/>
      <c r="IP68" s="125"/>
      <c r="IQ68" s="125"/>
      <c r="IR68" s="125"/>
      <c r="IS68" s="125"/>
      <c r="IT68" s="125"/>
      <c r="IU68" s="125"/>
      <c r="IV68" s="125"/>
      <c r="IW68" s="125"/>
      <c r="IX68" s="125"/>
      <c r="IY68" s="125"/>
      <c r="IZ68" s="125"/>
      <c r="JA68" s="125"/>
      <c r="JB68" s="125"/>
      <c r="JC68" s="125"/>
      <c r="JD68" s="125"/>
      <c r="JE68" s="125"/>
      <c r="JF68" s="125"/>
      <c r="JG68" s="125"/>
      <c r="JH68" s="125"/>
      <c r="JI68" s="119">
        <f t="shared" si="2"/>
        <v>73089.2</v>
      </c>
      <c r="JJ68" s="315">
        <v>2084</v>
      </c>
      <c r="JK68" s="122"/>
      <c r="JL68" s="125">
        <f t="shared" si="3"/>
        <v>73089.2</v>
      </c>
      <c r="JM68" s="1"/>
      <c r="JN68" s="1"/>
      <c r="JO68" s="1"/>
      <c r="JP68" s="1"/>
    </row>
    <row r="69" spans="1:276" x14ac:dyDescent="0.25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5"/>
      <c r="BT69" s="125"/>
      <c r="BU69" s="125"/>
      <c r="BV69" s="125"/>
      <c r="BW69" s="125"/>
      <c r="BX69" s="125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  <c r="CW69" s="125"/>
      <c r="CX69" s="125"/>
      <c r="CY69" s="125"/>
      <c r="CZ69" s="125"/>
      <c r="DA69" s="125"/>
      <c r="DB69" s="125"/>
      <c r="DC69" s="125"/>
      <c r="DD69" s="125"/>
      <c r="DE69" s="125"/>
      <c r="DF69" s="125"/>
      <c r="DG69" s="125"/>
      <c r="DH69" s="125"/>
      <c r="DI69" s="125"/>
      <c r="DJ69" s="125"/>
      <c r="DK69" s="125">
        <v>18195.599999999999</v>
      </c>
      <c r="DL69" s="125"/>
      <c r="DM69" s="125"/>
      <c r="DN69" s="125"/>
      <c r="DO69" s="125"/>
      <c r="DP69" s="125"/>
      <c r="DQ69" s="125"/>
      <c r="DR69" s="125"/>
      <c r="DS69" s="125"/>
      <c r="DT69" s="125"/>
      <c r="DU69" s="125"/>
      <c r="DV69" s="125"/>
      <c r="DW69" s="125"/>
      <c r="DX69" s="125"/>
      <c r="DY69" s="125"/>
      <c r="DZ69" s="125"/>
      <c r="EA69" s="125"/>
      <c r="EB69" s="125"/>
      <c r="EC69" s="125"/>
      <c r="ED69" s="125"/>
      <c r="EE69" s="125"/>
      <c r="EF69" s="125"/>
      <c r="EG69" s="125"/>
      <c r="EH69" s="125"/>
      <c r="EI69" s="125"/>
      <c r="EJ69" s="125"/>
      <c r="EK69" s="125"/>
      <c r="EL69" s="125"/>
      <c r="EM69" s="125"/>
      <c r="EN69" s="125"/>
      <c r="EO69" s="125"/>
      <c r="EP69" s="125"/>
      <c r="EQ69" s="125"/>
      <c r="ER69" s="125"/>
      <c r="ES69" s="125"/>
      <c r="ET69" s="125"/>
      <c r="EU69" s="125"/>
      <c r="EV69" s="125"/>
      <c r="EW69" s="125"/>
      <c r="EX69" s="125"/>
      <c r="EY69" s="125"/>
      <c r="EZ69" s="125"/>
      <c r="FA69" s="125"/>
      <c r="FB69" s="125"/>
      <c r="FC69" s="125"/>
      <c r="FD69" s="125"/>
      <c r="FE69" s="125"/>
      <c r="FF69" s="125"/>
      <c r="FG69" s="125"/>
      <c r="FH69" s="125"/>
      <c r="FI69" s="125"/>
      <c r="FJ69" s="125"/>
      <c r="FK69" s="125"/>
      <c r="FL69" s="125"/>
      <c r="FM69" s="125"/>
      <c r="FN69" s="125"/>
      <c r="FO69" s="125"/>
      <c r="FP69" s="125"/>
      <c r="FQ69" s="125"/>
      <c r="FR69" s="125"/>
      <c r="FS69" s="125"/>
      <c r="FT69" s="125">
        <v>5900</v>
      </c>
      <c r="FU69" s="125"/>
      <c r="FV69" s="125"/>
      <c r="FW69" s="125"/>
      <c r="FX69" s="125"/>
      <c r="FY69" s="125"/>
      <c r="FZ69" s="125"/>
      <c r="GA69" s="125"/>
      <c r="GB69" s="125"/>
      <c r="GC69" s="125"/>
      <c r="GD69" s="125"/>
      <c r="GE69" s="125"/>
      <c r="GF69" s="125"/>
      <c r="GG69" s="125"/>
      <c r="GH69" s="125"/>
      <c r="GI69" s="125"/>
      <c r="GJ69" s="125"/>
      <c r="GK69" s="125"/>
      <c r="GL69" s="125"/>
      <c r="GM69" s="125"/>
      <c r="GN69" s="125"/>
      <c r="GO69" s="125"/>
      <c r="GP69" s="125"/>
      <c r="GQ69" s="125"/>
      <c r="GR69" s="125"/>
      <c r="GS69" s="125"/>
      <c r="GT69" s="125"/>
      <c r="GU69" s="125"/>
      <c r="GV69" s="125"/>
      <c r="GW69" s="125"/>
      <c r="GX69" s="125"/>
      <c r="GY69" s="125"/>
      <c r="GZ69" s="125"/>
      <c r="HA69" s="125"/>
      <c r="HB69" s="125"/>
      <c r="HC69" s="125"/>
      <c r="HD69" s="125"/>
      <c r="HE69" s="125"/>
      <c r="HF69" s="125"/>
      <c r="HG69" s="125"/>
      <c r="HH69" s="125"/>
      <c r="HI69" s="125"/>
      <c r="HJ69" s="125"/>
      <c r="HK69" s="125"/>
      <c r="HL69" s="125"/>
      <c r="HM69" s="125"/>
      <c r="HN69" s="125"/>
      <c r="HO69" s="125"/>
      <c r="HP69" s="125"/>
      <c r="HQ69" s="125"/>
      <c r="HR69" s="125"/>
      <c r="HS69" s="125"/>
      <c r="HT69" s="125"/>
      <c r="HU69" s="125"/>
      <c r="HV69" s="125"/>
      <c r="HW69" s="125"/>
      <c r="HX69" s="125"/>
      <c r="HY69" s="125"/>
      <c r="HZ69" s="125"/>
      <c r="IA69" s="125"/>
      <c r="IB69" s="125"/>
      <c r="IC69" s="125"/>
      <c r="ID69" s="125"/>
      <c r="IE69" s="125"/>
      <c r="IF69" s="125"/>
      <c r="IG69" s="125"/>
      <c r="IH69" s="125"/>
      <c r="II69" s="125"/>
      <c r="IJ69" s="125"/>
      <c r="IK69" s="125"/>
      <c r="IL69" s="125"/>
      <c r="IM69" s="125"/>
      <c r="IN69" s="125"/>
      <c r="IO69" s="125"/>
      <c r="IP69" s="125"/>
      <c r="IQ69" s="125"/>
      <c r="IR69" s="125"/>
      <c r="IS69" s="125"/>
      <c r="IT69" s="125"/>
      <c r="IU69" s="125"/>
      <c r="IV69" s="125"/>
      <c r="IW69" s="125"/>
      <c r="IX69" s="125"/>
      <c r="IY69" s="125"/>
      <c r="IZ69" s="125"/>
      <c r="JA69" s="125"/>
      <c r="JB69" s="125"/>
      <c r="JC69" s="125"/>
      <c r="JD69" s="125"/>
      <c r="JE69" s="125"/>
      <c r="JF69" s="125"/>
      <c r="JG69" s="125"/>
      <c r="JH69" s="125"/>
      <c r="JI69" s="119">
        <f t="shared" si="2"/>
        <v>24095.599999999999</v>
      </c>
      <c r="JJ69" s="315">
        <v>2088</v>
      </c>
      <c r="JK69" s="122"/>
      <c r="JL69" s="125">
        <f t="shared" si="3"/>
        <v>24095.599999999999</v>
      </c>
      <c r="JM69" s="1"/>
      <c r="JN69" s="1"/>
      <c r="JO69" s="1"/>
      <c r="JP69" s="1"/>
    </row>
    <row r="70" spans="1:276" x14ac:dyDescent="0.25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  <c r="BI70" s="125"/>
      <c r="BJ70" s="125"/>
      <c r="BK70" s="125"/>
      <c r="BL70" s="125"/>
      <c r="BM70" s="125"/>
      <c r="BN70" s="125"/>
      <c r="BO70" s="125"/>
      <c r="BP70" s="125"/>
      <c r="BQ70" s="125"/>
      <c r="BR70" s="125"/>
      <c r="BS70" s="125"/>
      <c r="BT70" s="125"/>
      <c r="BU70" s="125"/>
      <c r="BV70" s="125"/>
      <c r="BW70" s="125"/>
      <c r="BX70" s="125"/>
      <c r="BY70" s="125"/>
      <c r="BZ70" s="125"/>
      <c r="CA70" s="125"/>
      <c r="CB70" s="125"/>
      <c r="CC70" s="125"/>
      <c r="CD70" s="125"/>
      <c r="CE70" s="125"/>
      <c r="CF70" s="125"/>
      <c r="CG70" s="125"/>
      <c r="CH70" s="125"/>
      <c r="CI70" s="125"/>
      <c r="CJ70" s="125"/>
      <c r="CK70" s="125"/>
      <c r="CL70" s="125"/>
      <c r="CM70" s="125"/>
      <c r="CN70" s="125"/>
      <c r="CO70" s="125"/>
      <c r="CP70" s="125"/>
      <c r="CQ70" s="125"/>
      <c r="CR70" s="125"/>
      <c r="CS70" s="125"/>
      <c r="CT70" s="125"/>
      <c r="CU70" s="125"/>
      <c r="CV70" s="125"/>
      <c r="CW70" s="125"/>
      <c r="CX70" s="125"/>
      <c r="CY70" s="125"/>
      <c r="CZ70" s="125"/>
      <c r="DA70" s="125"/>
      <c r="DB70" s="125"/>
      <c r="DC70" s="125"/>
      <c r="DD70" s="125"/>
      <c r="DE70" s="125"/>
      <c r="DF70" s="125"/>
      <c r="DG70" s="125"/>
      <c r="DH70" s="125"/>
      <c r="DI70" s="125"/>
      <c r="DJ70" s="125"/>
      <c r="DK70" s="125"/>
      <c r="DL70" s="125"/>
      <c r="DM70" s="125"/>
      <c r="DN70" s="125"/>
      <c r="DO70" s="125"/>
      <c r="DP70" s="125"/>
      <c r="DQ70" s="125"/>
      <c r="DR70" s="125"/>
      <c r="DS70" s="125"/>
      <c r="DT70" s="125"/>
      <c r="DU70" s="125"/>
      <c r="DV70" s="125"/>
      <c r="DW70" s="125">
        <v>266326</v>
      </c>
      <c r="DX70" s="125"/>
      <c r="DY70" s="125"/>
      <c r="DZ70" s="125"/>
      <c r="EA70" s="125"/>
      <c r="EB70" s="125"/>
      <c r="EC70" s="125"/>
      <c r="ED70" s="125"/>
      <c r="EE70" s="125"/>
      <c r="EF70" s="125"/>
      <c r="EG70" s="125"/>
      <c r="EH70" s="125"/>
      <c r="EI70" s="125"/>
      <c r="EJ70" s="125"/>
      <c r="EK70" s="125"/>
      <c r="EL70" s="125"/>
      <c r="EM70" s="125"/>
      <c r="EN70" s="125"/>
      <c r="EO70" s="125"/>
      <c r="EP70" s="125"/>
      <c r="EQ70" s="125"/>
      <c r="ER70" s="125"/>
      <c r="ES70" s="125"/>
      <c r="ET70" s="125"/>
      <c r="EU70" s="125"/>
      <c r="EV70" s="125"/>
      <c r="EW70" s="125"/>
      <c r="EX70" s="125"/>
      <c r="EY70" s="125"/>
      <c r="EZ70" s="125"/>
      <c r="FA70" s="125"/>
      <c r="FB70" s="125"/>
      <c r="FC70" s="125"/>
      <c r="FD70" s="125"/>
      <c r="FE70" s="125"/>
      <c r="FF70" s="125"/>
      <c r="FG70" s="125"/>
      <c r="FH70" s="125"/>
      <c r="FI70" s="125"/>
      <c r="FJ70" s="125"/>
      <c r="FK70" s="125"/>
      <c r="FL70" s="125"/>
      <c r="FM70" s="125"/>
      <c r="FN70" s="125"/>
      <c r="FO70" s="125"/>
      <c r="FP70" s="125"/>
      <c r="FQ70" s="125"/>
      <c r="FR70" s="125"/>
      <c r="FS70" s="125"/>
      <c r="FT70" s="125"/>
      <c r="FU70" s="125"/>
      <c r="FV70" s="125"/>
      <c r="FW70" s="125"/>
      <c r="FX70" s="125"/>
      <c r="FY70" s="125"/>
      <c r="FZ70" s="125"/>
      <c r="GA70" s="125"/>
      <c r="GB70" s="125"/>
      <c r="GC70" s="125"/>
      <c r="GD70" s="125"/>
      <c r="GE70" s="125"/>
      <c r="GF70" s="125"/>
      <c r="GG70" s="125"/>
      <c r="GH70" s="125"/>
      <c r="GI70" s="125"/>
      <c r="GJ70" s="125"/>
      <c r="GK70" s="125"/>
      <c r="GL70" s="125"/>
      <c r="GM70" s="125"/>
      <c r="GN70" s="125"/>
      <c r="GO70" s="125"/>
      <c r="GP70" s="125"/>
      <c r="GQ70" s="125"/>
      <c r="GR70" s="125"/>
      <c r="GS70" s="125"/>
      <c r="GT70" s="125"/>
      <c r="GU70" s="125"/>
      <c r="GV70" s="125"/>
      <c r="GW70" s="125"/>
      <c r="GX70" s="125"/>
      <c r="GY70" s="125"/>
      <c r="GZ70" s="125"/>
      <c r="HA70" s="125"/>
      <c r="HB70" s="125"/>
      <c r="HC70" s="125"/>
      <c r="HD70" s="125"/>
      <c r="HE70" s="125"/>
      <c r="HF70" s="125"/>
      <c r="HG70" s="125"/>
      <c r="HH70" s="125"/>
      <c r="HI70" s="125"/>
      <c r="HJ70" s="125"/>
      <c r="HK70" s="125"/>
      <c r="HL70" s="125"/>
      <c r="HM70" s="125"/>
      <c r="HN70" s="125"/>
      <c r="HO70" s="125"/>
      <c r="HP70" s="125"/>
      <c r="HQ70" s="125"/>
      <c r="HR70" s="125"/>
      <c r="HS70" s="125"/>
      <c r="HT70" s="125"/>
      <c r="HU70" s="125"/>
      <c r="HV70" s="125"/>
      <c r="HW70" s="125"/>
      <c r="HX70" s="125"/>
      <c r="HY70" s="125"/>
      <c r="HZ70" s="125"/>
      <c r="IA70" s="125"/>
      <c r="IB70" s="125"/>
      <c r="IC70" s="125"/>
      <c r="ID70" s="125"/>
      <c r="IE70" s="125"/>
      <c r="IF70" s="125"/>
      <c r="IG70" s="125"/>
      <c r="IH70" s="125"/>
      <c r="II70" s="125"/>
      <c r="IJ70" s="125"/>
      <c r="IK70" s="125"/>
      <c r="IL70" s="125"/>
      <c r="IM70" s="125"/>
      <c r="IN70" s="125"/>
      <c r="IO70" s="125"/>
      <c r="IP70" s="125"/>
      <c r="IQ70" s="125"/>
      <c r="IR70" s="125"/>
      <c r="IS70" s="125"/>
      <c r="IT70" s="125"/>
      <c r="IU70" s="125"/>
      <c r="IV70" s="125"/>
      <c r="IW70" s="125"/>
      <c r="IX70" s="125"/>
      <c r="IY70" s="125"/>
      <c r="IZ70" s="125"/>
      <c r="JA70" s="125"/>
      <c r="JB70" s="125"/>
      <c r="JC70" s="125"/>
      <c r="JD70" s="125"/>
      <c r="JE70" s="125"/>
      <c r="JF70" s="125"/>
      <c r="JG70" s="125"/>
      <c r="JH70" s="125"/>
      <c r="JI70" s="119">
        <f t="shared" si="2"/>
        <v>266326</v>
      </c>
      <c r="JJ70" s="315">
        <v>2106</v>
      </c>
      <c r="JK70" s="122"/>
      <c r="JL70" s="125">
        <f t="shared" si="3"/>
        <v>266326</v>
      </c>
      <c r="JM70" s="1"/>
      <c r="JN70" s="1"/>
      <c r="JO70" s="1"/>
      <c r="JP70" s="1"/>
    </row>
    <row r="71" spans="1:276" x14ac:dyDescent="0.25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/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5"/>
      <c r="DD71" s="125"/>
      <c r="DE71" s="125"/>
      <c r="DF71" s="125"/>
      <c r="DG71" s="125"/>
      <c r="DH71" s="125"/>
      <c r="DI71" s="125"/>
      <c r="DJ71" s="125"/>
      <c r="DK71" s="125"/>
      <c r="DL71" s="125"/>
      <c r="DM71" s="125"/>
      <c r="DN71" s="125"/>
      <c r="DO71" s="125"/>
      <c r="DP71" s="125"/>
      <c r="DQ71" s="125"/>
      <c r="DR71" s="125"/>
      <c r="DS71" s="125"/>
      <c r="DT71" s="125"/>
      <c r="DU71" s="125"/>
      <c r="DV71" s="125"/>
      <c r="DW71" s="125"/>
      <c r="DX71" s="125"/>
      <c r="DY71" s="125"/>
      <c r="DZ71" s="125"/>
      <c r="EA71" s="125"/>
      <c r="EB71" s="125"/>
      <c r="EC71" s="125"/>
      <c r="ED71" s="125"/>
      <c r="EE71" s="125"/>
      <c r="EF71" s="125"/>
      <c r="EG71" s="125"/>
      <c r="EH71" s="125"/>
      <c r="EI71" s="125"/>
      <c r="EJ71" s="125"/>
      <c r="EK71" s="125"/>
      <c r="EL71" s="125"/>
      <c r="EM71" s="125"/>
      <c r="EN71" s="125"/>
      <c r="EO71" s="125"/>
      <c r="EP71" s="125"/>
      <c r="EQ71" s="125"/>
      <c r="ER71" s="125"/>
      <c r="ES71" s="125"/>
      <c r="ET71" s="125"/>
      <c r="EU71" s="125"/>
      <c r="EV71" s="125"/>
      <c r="EW71" s="125"/>
      <c r="EX71" s="125"/>
      <c r="EY71" s="125"/>
      <c r="EZ71" s="125"/>
      <c r="FA71" s="125"/>
      <c r="FB71" s="125"/>
      <c r="FC71" s="125"/>
      <c r="FD71" s="125"/>
      <c r="FE71" s="125"/>
      <c r="FF71" s="125"/>
      <c r="FG71" s="125"/>
      <c r="FH71" s="125"/>
      <c r="FI71" s="125"/>
      <c r="FJ71" s="125"/>
      <c r="FK71" s="125"/>
      <c r="FL71" s="125"/>
      <c r="FM71" s="125"/>
      <c r="FN71" s="125">
        <v>80363.899999999994</v>
      </c>
      <c r="FO71" s="125"/>
      <c r="FP71" s="125"/>
      <c r="FQ71" s="125"/>
      <c r="FR71" s="125"/>
      <c r="FS71" s="125"/>
      <c r="FT71" s="125"/>
      <c r="FU71" s="125"/>
      <c r="FV71" s="125"/>
      <c r="FW71" s="125"/>
      <c r="FX71" s="125"/>
      <c r="FY71" s="125"/>
      <c r="FZ71" s="125"/>
      <c r="GA71" s="125"/>
      <c r="GB71" s="125"/>
      <c r="GC71" s="125"/>
      <c r="GD71" s="125"/>
      <c r="GE71" s="125"/>
      <c r="GF71" s="125"/>
      <c r="GG71" s="125"/>
      <c r="GH71" s="125"/>
      <c r="GI71" s="125"/>
      <c r="GJ71" s="125"/>
      <c r="GK71" s="125"/>
      <c r="GL71" s="125"/>
      <c r="GM71" s="125"/>
      <c r="GN71" s="125"/>
      <c r="GO71" s="125"/>
      <c r="GP71" s="125"/>
      <c r="GQ71" s="125"/>
      <c r="GR71" s="125"/>
      <c r="GS71" s="125"/>
      <c r="GT71" s="125"/>
      <c r="GU71" s="125"/>
      <c r="GV71" s="125"/>
      <c r="GW71" s="125"/>
      <c r="GX71" s="125"/>
      <c r="GY71" s="125"/>
      <c r="GZ71" s="125"/>
      <c r="HA71" s="125"/>
      <c r="HB71" s="125"/>
      <c r="HC71" s="125"/>
      <c r="HD71" s="125"/>
      <c r="HE71" s="125"/>
      <c r="HF71" s="125"/>
      <c r="HG71" s="125"/>
      <c r="HH71" s="125"/>
      <c r="HI71" s="125"/>
      <c r="HJ71" s="125"/>
      <c r="HK71" s="125"/>
      <c r="HL71" s="125"/>
      <c r="HM71" s="125"/>
      <c r="HN71" s="125"/>
      <c r="HO71" s="125"/>
      <c r="HP71" s="125"/>
      <c r="HQ71" s="125"/>
      <c r="HR71" s="125"/>
      <c r="HS71" s="125"/>
      <c r="HT71" s="125"/>
      <c r="HU71" s="125"/>
      <c r="HV71" s="125"/>
      <c r="HW71" s="125"/>
      <c r="HX71" s="125"/>
      <c r="HY71" s="125"/>
      <c r="HZ71" s="125"/>
      <c r="IA71" s="125"/>
      <c r="IB71" s="125"/>
      <c r="IC71" s="125"/>
      <c r="ID71" s="125"/>
      <c r="IE71" s="125"/>
      <c r="IF71" s="125"/>
      <c r="IG71" s="125"/>
      <c r="IH71" s="125"/>
      <c r="II71" s="125"/>
      <c r="IJ71" s="125"/>
      <c r="IK71" s="125"/>
      <c r="IL71" s="125"/>
      <c r="IM71" s="125"/>
      <c r="IN71" s="125"/>
      <c r="IO71" s="125"/>
      <c r="IP71" s="125"/>
      <c r="IQ71" s="125"/>
      <c r="IR71" s="125"/>
      <c r="IS71" s="125"/>
      <c r="IT71" s="125"/>
      <c r="IU71" s="125"/>
      <c r="IV71" s="125"/>
      <c r="IW71" s="125"/>
      <c r="IX71" s="125"/>
      <c r="IY71" s="125"/>
      <c r="IZ71" s="125"/>
      <c r="JA71" s="125"/>
      <c r="JB71" s="125"/>
      <c r="JC71" s="125"/>
      <c r="JD71" s="125"/>
      <c r="JE71" s="125"/>
      <c r="JF71" s="125"/>
      <c r="JG71" s="125"/>
      <c r="JH71" s="125"/>
      <c r="JI71" s="119">
        <f t="shared" si="2"/>
        <v>80363.899999999994</v>
      </c>
      <c r="JJ71" s="315">
        <v>2110</v>
      </c>
      <c r="JK71" s="122"/>
      <c r="JL71" s="125">
        <f t="shared" si="3"/>
        <v>80363.899999999994</v>
      </c>
      <c r="JM71" s="1"/>
      <c r="JN71" s="1"/>
      <c r="JO71" s="1"/>
      <c r="JP71" s="1"/>
    </row>
    <row r="72" spans="1:276" x14ac:dyDescent="0.25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  <c r="BM72" s="125"/>
      <c r="BN72" s="125"/>
      <c r="BO72" s="125"/>
      <c r="BP72" s="125"/>
      <c r="BQ72" s="125"/>
      <c r="BR72" s="125"/>
      <c r="BS72" s="125"/>
      <c r="BT72" s="125"/>
      <c r="BU72" s="125"/>
      <c r="BV72" s="125"/>
      <c r="BW72" s="125"/>
      <c r="BX72" s="125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5"/>
      <c r="CR72" s="125"/>
      <c r="CS72" s="125"/>
      <c r="CT72" s="125"/>
      <c r="CU72" s="125"/>
      <c r="CV72" s="125"/>
      <c r="CW72" s="125"/>
      <c r="CX72" s="125"/>
      <c r="CY72" s="125"/>
      <c r="CZ72" s="125"/>
      <c r="DA72" s="125"/>
      <c r="DB72" s="125"/>
      <c r="DC72" s="125"/>
      <c r="DD72" s="125"/>
      <c r="DE72" s="125"/>
      <c r="DF72" s="125"/>
      <c r="DG72" s="125"/>
      <c r="DH72" s="125"/>
      <c r="DI72" s="125"/>
      <c r="DJ72" s="125"/>
      <c r="DK72" s="125"/>
      <c r="DL72" s="125"/>
      <c r="DM72" s="125"/>
      <c r="DN72" s="125"/>
      <c r="DO72" s="125"/>
      <c r="DP72" s="125"/>
      <c r="DQ72" s="125"/>
      <c r="DR72" s="125"/>
      <c r="DS72" s="125"/>
      <c r="DT72" s="125"/>
      <c r="DU72" s="125"/>
      <c r="DV72" s="125"/>
      <c r="DW72" s="125"/>
      <c r="DX72" s="125"/>
      <c r="DY72" s="125"/>
      <c r="DZ72" s="125"/>
      <c r="EA72" s="125"/>
      <c r="EB72" s="125"/>
      <c r="EC72" s="125"/>
      <c r="ED72" s="125"/>
      <c r="EE72" s="125"/>
      <c r="EF72" s="125"/>
      <c r="EG72" s="125">
        <v>7894.2</v>
      </c>
      <c r="EH72" s="125"/>
      <c r="EI72" s="125"/>
      <c r="EJ72" s="125"/>
      <c r="EK72" s="125"/>
      <c r="EL72" s="125"/>
      <c r="EM72" s="125"/>
      <c r="EN72" s="125"/>
      <c r="EO72" s="125"/>
      <c r="EP72" s="125"/>
      <c r="EQ72" s="125"/>
      <c r="ER72" s="125"/>
      <c r="ES72" s="125"/>
      <c r="ET72" s="125"/>
      <c r="EU72" s="125"/>
      <c r="EV72" s="125"/>
      <c r="EW72" s="125"/>
      <c r="EX72" s="125"/>
      <c r="EY72" s="125"/>
      <c r="EZ72" s="125"/>
      <c r="FA72" s="125"/>
      <c r="FB72" s="125"/>
      <c r="FC72" s="125"/>
      <c r="FD72" s="125"/>
      <c r="FE72" s="125"/>
      <c r="FF72" s="125"/>
      <c r="FG72" s="125"/>
      <c r="FH72" s="125"/>
      <c r="FI72" s="125"/>
      <c r="FJ72" s="125"/>
      <c r="FK72" s="125"/>
      <c r="FL72" s="125"/>
      <c r="FM72" s="125"/>
      <c r="FN72" s="125"/>
      <c r="FO72" s="125"/>
      <c r="FP72" s="125"/>
      <c r="FQ72" s="125">
        <v>127591.39</v>
      </c>
      <c r="FR72" s="125"/>
      <c r="FS72" s="125"/>
      <c r="FT72" s="125"/>
      <c r="FU72" s="125"/>
      <c r="FV72" s="125"/>
      <c r="FW72" s="125"/>
      <c r="FX72" s="125"/>
      <c r="FY72" s="125"/>
      <c r="FZ72" s="125"/>
      <c r="GA72" s="125"/>
      <c r="GB72" s="125"/>
      <c r="GC72" s="125"/>
      <c r="GD72" s="125"/>
      <c r="GE72" s="125"/>
      <c r="GF72" s="125"/>
      <c r="GG72" s="125"/>
      <c r="GH72" s="125"/>
      <c r="GI72" s="125"/>
      <c r="GJ72" s="125"/>
      <c r="GK72" s="125"/>
      <c r="GL72" s="125"/>
      <c r="GM72" s="125"/>
      <c r="GN72" s="125"/>
      <c r="GO72" s="125"/>
      <c r="GP72" s="125"/>
      <c r="GQ72" s="125"/>
      <c r="GR72" s="125"/>
      <c r="GS72" s="125"/>
      <c r="GT72" s="125"/>
      <c r="GU72" s="125"/>
      <c r="GV72" s="125"/>
      <c r="GW72" s="125"/>
      <c r="GX72" s="125"/>
      <c r="GY72" s="125"/>
      <c r="GZ72" s="125"/>
      <c r="HA72" s="125"/>
      <c r="HB72" s="125"/>
      <c r="HC72" s="125"/>
      <c r="HD72" s="125"/>
      <c r="HE72" s="125"/>
      <c r="HF72" s="125"/>
      <c r="HG72" s="125"/>
      <c r="HH72" s="125"/>
      <c r="HI72" s="125"/>
      <c r="HJ72" s="125"/>
      <c r="HK72" s="125"/>
      <c r="HL72" s="125"/>
      <c r="HM72" s="125"/>
      <c r="HN72" s="125"/>
      <c r="HO72" s="125"/>
      <c r="HP72" s="125"/>
      <c r="HQ72" s="125"/>
      <c r="HR72" s="125"/>
      <c r="HS72" s="125"/>
      <c r="HT72" s="125"/>
      <c r="HU72" s="125"/>
      <c r="HV72" s="125"/>
      <c r="HW72" s="125"/>
      <c r="HX72" s="125"/>
      <c r="HY72" s="125"/>
      <c r="HZ72" s="125"/>
      <c r="IA72" s="125"/>
      <c r="IB72" s="125"/>
      <c r="IC72" s="125"/>
      <c r="ID72" s="125"/>
      <c r="IE72" s="125"/>
      <c r="IF72" s="125"/>
      <c r="IG72" s="125"/>
      <c r="IH72" s="125"/>
      <c r="II72" s="125"/>
      <c r="IJ72" s="125"/>
      <c r="IK72" s="125"/>
      <c r="IL72" s="125"/>
      <c r="IM72" s="125"/>
      <c r="IN72" s="125"/>
      <c r="IO72" s="125"/>
      <c r="IP72" s="125"/>
      <c r="IQ72" s="125"/>
      <c r="IR72" s="125"/>
      <c r="IS72" s="125"/>
      <c r="IT72" s="125"/>
      <c r="IU72" s="125"/>
      <c r="IV72" s="125"/>
      <c r="IW72" s="125"/>
      <c r="IX72" s="125"/>
      <c r="IY72" s="125"/>
      <c r="IZ72" s="125"/>
      <c r="JA72" s="125"/>
      <c r="JB72" s="125"/>
      <c r="JC72" s="125"/>
      <c r="JD72" s="125"/>
      <c r="JE72" s="125"/>
      <c r="JF72" s="125"/>
      <c r="JG72" s="125"/>
      <c r="JH72" s="125"/>
      <c r="JI72" s="119">
        <f t="shared" si="2"/>
        <v>135485.59</v>
      </c>
      <c r="JJ72" s="315">
        <v>2115</v>
      </c>
      <c r="JK72" s="122"/>
      <c r="JL72" s="125">
        <f t="shared" si="3"/>
        <v>135485.59</v>
      </c>
      <c r="JM72" s="1"/>
      <c r="JN72" s="1"/>
      <c r="JO72" s="1"/>
      <c r="JP72" s="1"/>
    </row>
    <row r="73" spans="1:276" x14ac:dyDescent="0.25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5"/>
      <c r="BT73" s="125"/>
      <c r="BU73" s="125"/>
      <c r="BV73" s="125"/>
      <c r="BW73" s="125"/>
      <c r="BX73" s="125"/>
      <c r="BY73" s="125"/>
      <c r="BZ73" s="125"/>
      <c r="CA73" s="125"/>
      <c r="CB73" s="125"/>
      <c r="CC73" s="125"/>
      <c r="CD73" s="125"/>
      <c r="CE73" s="125"/>
      <c r="CF73" s="125"/>
      <c r="CG73" s="125"/>
      <c r="CH73" s="125"/>
      <c r="CI73" s="125"/>
      <c r="CJ73" s="125"/>
      <c r="CK73" s="125"/>
      <c r="CL73" s="125"/>
      <c r="CM73" s="125"/>
      <c r="CN73" s="125"/>
      <c r="CO73" s="125"/>
      <c r="CP73" s="125"/>
      <c r="CQ73" s="125"/>
      <c r="CR73" s="125"/>
      <c r="CS73" s="125"/>
      <c r="CT73" s="125"/>
      <c r="CU73" s="125"/>
      <c r="CV73" s="125"/>
      <c r="CW73" s="125"/>
      <c r="CX73" s="125"/>
      <c r="CY73" s="125"/>
      <c r="CZ73" s="125"/>
      <c r="DA73" s="125"/>
      <c r="DB73" s="125"/>
      <c r="DC73" s="125"/>
      <c r="DD73" s="125"/>
      <c r="DE73" s="125"/>
      <c r="DF73" s="125"/>
      <c r="DG73" s="125"/>
      <c r="DH73" s="125"/>
      <c r="DI73" s="125"/>
      <c r="DJ73" s="125"/>
      <c r="DK73" s="125"/>
      <c r="DL73" s="125"/>
      <c r="DM73" s="125"/>
      <c r="DN73" s="125"/>
      <c r="DO73" s="125"/>
      <c r="DP73" s="125"/>
      <c r="DQ73" s="125"/>
      <c r="DR73" s="125"/>
      <c r="DS73" s="125"/>
      <c r="DT73" s="125"/>
      <c r="DU73" s="125"/>
      <c r="DV73" s="125"/>
      <c r="DW73" s="125"/>
      <c r="DX73" s="125"/>
      <c r="DY73" s="125"/>
      <c r="DZ73" s="125"/>
      <c r="EA73" s="125"/>
      <c r="EB73" s="125"/>
      <c r="EC73" s="125"/>
      <c r="ED73" s="125"/>
      <c r="EE73" s="125"/>
      <c r="EF73" s="125"/>
      <c r="EG73" s="125"/>
      <c r="EH73" s="125"/>
      <c r="EI73" s="125"/>
      <c r="EJ73" s="125"/>
      <c r="EK73" s="125"/>
      <c r="EL73" s="125"/>
      <c r="EM73" s="125"/>
      <c r="EN73" s="125"/>
      <c r="EO73" s="125"/>
      <c r="EP73" s="125"/>
      <c r="EQ73" s="125"/>
      <c r="ER73" s="125"/>
      <c r="ES73" s="125"/>
      <c r="ET73" s="125"/>
      <c r="EU73" s="125"/>
      <c r="EV73" s="125"/>
      <c r="EW73" s="125"/>
      <c r="EX73" s="125"/>
      <c r="EY73" s="125"/>
      <c r="EZ73" s="125"/>
      <c r="FA73" s="125"/>
      <c r="FB73" s="125"/>
      <c r="FC73" s="125"/>
      <c r="FD73" s="125"/>
      <c r="FE73" s="125"/>
      <c r="FF73" s="125"/>
      <c r="FG73" s="125"/>
      <c r="FH73" s="125"/>
      <c r="FI73" s="125"/>
      <c r="FJ73" s="125">
        <v>229790</v>
      </c>
      <c r="FK73" s="125"/>
      <c r="FL73" s="125"/>
      <c r="FM73" s="125"/>
      <c r="FN73" s="125"/>
      <c r="FO73" s="125"/>
      <c r="FP73" s="125"/>
      <c r="FQ73" s="125"/>
      <c r="FR73" s="125"/>
      <c r="FS73" s="125">
        <v>7363.2</v>
      </c>
      <c r="FT73" s="125">
        <v>21948</v>
      </c>
      <c r="FU73" s="125"/>
      <c r="FV73" s="125"/>
      <c r="FW73" s="125"/>
      <c r="FX73" s="125"/>
      <c r="FY73" s="125"/>
      <c r="FZ73" s="125"/>
      <c r="GA73" s="125"/>
      <c r="GB73" s="125"/>
      <c r="GC73" s="125"/>
      <c r="GD73" s="125"/>
      <c r="GE73" s="125"/>
      <c r="GF73" s="125"/>
      <c r="GG73" s="125"/>
      <c r="GH73" s="125"/>
      <c r="GI73" s="125"/>
      <c r="GJ73" s="125"/>
      <c r="GK73" s="125"/>
      <c r="GL73" s="125"/>
      <c r="GM73" s="125"/>
      <c r="GN73" s="125"/>
      <c r="GO73" s="125"/>
      <c r="GP73" s="125"/>
      <c r="GQ73" s="125"/>
      <c r="GR73" s="125"/>
      <c r="GS73" s="125"/>
      <c r="GT73" s="125"/>
      <c r="GU73" s="125"/>
      <c r="GV73" s="125"/>
      <c r="GW73" s="125"/>
      <c r="GX73" s="125"/>
      <c r="GY73" s="125"/>
      <c r="GZ73" s="125"/>
      <c r="HA73" s="125"/>
      <c r="HB73" s="125"/>
      <c r="HC73" s="125"/>
      <c r="HD73" s="125"/>
      <c r="HE73" s="125"/>
      <c r="HF73" s="125"/>
      <c r="HG73" s="125"/>
      <c r="HH73" s="125"/>
      <c r="HI73" s="125"/>
      <c r="HJ73" s="125"/>
      <c r="HK73" s="125"/>
      <c r="HL73" s="125"/>
      <c r="HM73" s="125"/>
      <c r="HN73" s="125"/>
      <c r="HO73" s="125"/>
      <c r="HP73" s="125"/>
      <c r="HQ73" s="125"/>
      <c r="HR73" s="125"/>
      <c r="HS73" s="125"/>
      <c r="HT73" s="125"/>
      <c r="HU73" s="125"/>
      <c r="HV73" s="125"/>
      <c r="HW73" s="125"/>
      <c r="HX73" s="125"/>
      <c r="HY73" s="125"/>
      <c r="HZ73" s="125"/>
      <c r="IA73" s="125"/>
      <c r="IB73" s="125"/>
      <c r="IC73" s="125"/>
      <c r="ID73" s="125"/>
      <c r="IE73" s="125"/>
      <c r="IF73" s="125"/>
      <c r="IG73" s="125"/>
      <c r="IH73" s="125"/>
      <c r="II73" s="125"/>
      <c r="IJ73" s="125"/>
      <c r="IK73" s="125"/>
      <c r="IL73" s="125"/>
      <c r="IM73" s="125"/>
      <c r="IN73" s="125"/>
      <c r="IO73" s="125"/>
      <c r="IP73" s="125"/>
      <c r="IQ73" s="125"/>
      <c r="IR73" s="125"/>
      <c r="IS73" s="125"/>
      <c r="IT73" s="125"/>
      <c r="IU73" s="125"/>
      <c r="IV73" s="125"/>
      <c r="IW73" s="125"/>
      <c r="IX73" s="125"/>
      <c r="IY73" s="125"/>
      <c r="IZ73" s="125"/>
      <c r="JA73" s="125"/>
      <c r="JB73" s="125"/>
      <c r="JC73" s="125"/>
      <c r="JD73" s="125"/>
      <c r="JE73" s="125"/>
      <c r="JF73" s="125"/>
      <c r="JG73" s="125"/>
      <c r="JH73" s="125"/>
      <c r="JI73" s="119">
        <f t="shared" si="2"/>
        <v>259101.2</v>
      </c>
      <c r="JJ73" s="315">
        <v>2119</v>
      </c>
      <c r="JK73" s="122"/>
      <c r="JL73" s="125">
        <f t="shared" si="3"/>
        <v>259101.2</v>
      </c>
      <c r="JM73" s="1"/>
      <c r="JN73" s="1"/>
      <c r="JO73" s="1"/>
      <c r="JP73" s="1"/>
    </row>
    <row r="74" spans="1:276" x14ac:dyDescent="0.25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5"/>
      <c r="BT74" s="125"/>
      <c r="BU74" s="125"/>
      <c r="BV74" s="125"/>
      <c r="BW74" s="125"/>
      <c r="BX74" s="125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125"/>
      <c r="CX74" s="125"/>
      <c r="CY74" s="125"/>
      <c r="CZ74" s="125"/>
      <c r="DA74" s="125"/>
      <c r="DB74" s="125"/>
      <c r="DC74" s="125"/>
      <c r="DD74" s="125"/>
      <c r="DE74" s="125"/>
      <c r="DF74" s="125"/>
      <c r="DG74" s="125"/>
      <c r="DH74" s="125"/>
      <c r="DI74" s="125"/>
      <c r="DJ74" s="125"/>
      <c r="DK74" s="125"/>
      <c r="DL74" s="125"/>
      <c r="DM74" s="125"/>
      <c r="DN74" s="125"/>
      <c r="DO74" s="125"/>
      <c r="DP74" s="125"/>
      <c r="DQ74" s="125"/>
      <c r="DR74" s="125"/>
      <c r="DS74" s="125"/>
      <c r="DT74" s="125"/>
      <c r="DU74" s="125"/>
      <c r="DV74" s="125"/>
      <c r="DW74" s="125"/>
      <c r="DX74" s="125"/>
      <c r="DY74" s="125"/>
      <c r="DZ74" s="125"/>
      <c r="EA74" s="125"/>
      <c r="EB74" s="125"/>
      <c r="EC74" s="125"/>
      <c r="ED74" s="125"/>
      <c r="EE74" s="125"/>
      <c r="EF74" s="125"/>
      <c r="EG74" s="125">
        <v>130748.55</v>
      </c>
      <c r="EH74" s="125"/>
      <c r="EI74" s="125"/>
      <c r="EJ74" s="125"/>
      <c r="EK74" s="125"/>
      <c r="EL74" s="125"/>
      <c r="EM74" s="125"/>
      <c r="EN74" s="125"/>
      <c r="EO74" s="125"/>
      <c r="EP74" s="125"/>
      <c r="EQ74" s="125"/>
      <c r="ER74" s="125"/>
      <c r="ES74" s="125"/>
      <c r="ET74" s="125"/>
      <c r="EU74" s="125"/>
      <c r="EV74" s="125"/>
      <c r="EW74" s="125"/>
      <c r="EX74" s="125"/>
      <c r="EY74" s="125"/>
      <c r="EZ74" s="125"/>
      <c r="FA74" s="125"/>
      <c r="FB74" s="125"/>
      <c r="FC74" s="125"/>
      <c r="FD74" s="125"/>
      <c r="FE74" s="125"/>
      <c r="FF74" s="125"/>
      <c r="FG74" s="125"/>
      <c r="FH74" s="125"/>
      <c r="FI74" s="125"/>
      <c r="FJ74" s="125"/>
      <c r="FK74" s="125"/>
      <c r="FL74" s="125"/>
      <c r="FM74" s="125"/>
      <c r="FN74" s="125"/>
      <c r="FO74" s="125"/>
      <c r="FP74" s="125"/>
      <c r="FQ74" s="125"/>
      <c r="FR74" s="125"/>
      <c r="FS74" s="125"/>
      <c r="FT74" s="125"/>
      <c r="FU74" s="125"/>
      <c r="FV74" s="125"/>
      <c r="FW74" s="125"/>
      <c r="FX74" s="125"/>
      <c r="FY74" s="125"/>
      <c r="FZ74" s="125"/>
      <c r="GA74" s="125"/>
      <c r="GB74" s="125"/>
      <c r="GC74" s="125"/>
      <c r="GD74" s="125"/>
      <c r="GE74" s="125"/>
      <c r="GF74" s="125"/>
      <c r="GG74" s="125"/>
      <c r="GH74" s="125"/>
      <c r="GI74" s="125"/>
      <c r="GJ74" s="125"/>
      <c r="GK74" s="125"/>
      <c r="GL74" s="125"/>
      <c r="GM74" s="125"/>
      <c r="GN74" s="125"/>
      <c r="GO74" s="125"/>
      <c r="GP74" s="125"/>
      <c r="GQ74" s="125"/>
      <c r="GR74" s="125"/>
      <c r="GS74" s="125"/>
      <c r="GT74" s="125"/>
      <c r="GU74" s="125"/>
      <c r="GV74" s="125"/>
      <c r="GW74" s="125"/>
      <c r="GX74" s="125"/>
      <c r="GY74" s="125"/>
      <c r="GZ74" s="125"/>
      <c r="HA74" s="125"/>
      <c r="HB74" s="125"/>
      <c r="HC74" s="125"/>
      <c r="HD74" s="125"/>
      <c r="HE74" s="125"/>
      <c r="HF74" s="125"/>
      <c r="HG74" s="125"/>
      <c r="HH74" s="125"/>
      <c r="HI74" s="125"/>
      <c r="HJ74" s="125"/>
      <c r="HK74" s="125"/>
      <c r="HL74" s="125"/>
      <c r="HM74" s="125"/>
      <c r="HN74" s="125"/>
      <c r="HO74" s="125"/>
      <c r="HP74" s="125"/>
      <c r="HQ74" s="125"/>
      <c r="HR74" s="125"/>
      <c r="HS74" s="125"/>
      <c r="HT74" s="125"/>
      <c r="HU74" s="125"/>
      <c r="HV74" s="125"/>
      <c r="HW74" s="125"/>
      <c r="HX74" s="125"/>
      <c r="HY74" s="125"/>
      <c r="HZ74" s="125"/>
      <c r="IA74" s="125"/>
      <c r="IB74" s="125"/>
      <c r="IC74" s="125"/>
      <c r="ID74" s="125"/>
      <c r="IE74" s="125"/>
      <c r="IF74" s="125"/>
      <c r="IG74" s="125"/>
      <c r="IH74" s="125"/>
      <c r="II74" s="125"/>
      <c r="IJ74" s="125"/>
      <c r="IK74" s="125"/>
      <c r="IL74" s="125"/>
      <c r="IM74" s="125"/>
      <c r="IN74" s="125"/>
      <c r="IO74" s="125"/>
      <c r="IP74" s="125"/>
      <c r="IQ74" s="125"/>
      <c r="IR74" s="125"/>
      <c r="IS74" s="125"/>
      <c r="IT74" s="125"/>
      <c r="IU74" s="125"/>
      <c r="IV74" s="125"/>
      <c r="IW74" s="125"/>
      <c r="IX74" s="125"/>
      <c r="IY74" s="125"/>
      <c r="IZ74" s="125"/>
      <c r="JA74" s="125"/>
      <c r="JB74" s="125"/>
      <c r="JC74" s="125"/>
      <c r="JD74" s="125"/>
      <c r="JE74" s="125"/>
      <c r="JF74" s="125"/>
      <c r="JG74" s="125"/>
      <c r="JH74" s="125"/>
      <c r="JI74" s="119">
        <f t="shared" si="2"/>
        <v>130748.55</v>
      </c>
      <c r="JJ74" s="315">
        <v>2125</v>
      </c>
      <c r="JK74" s="122"/>
      <c r="JL74" s="125">
        <f t="shared" si="3"/>
        <v>130748.55</v>
      </c>
      <c r="JM74" s="1"/>
      <c r="JN74" s="1"/>
      <c r="JO74" s="1"/>
      <c r="JP74" s="1"/>
    </row>
    <row r="75" spans="1:276" x14ac:dyDescent="0.2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5"/>
      <c r="BT75" s="125"/>
      <c r="BU75" s="125"/>
      <c r="BV75" s="125"/>
      <c r="BW75" s="125"/>
      <c r="BX75" s="125"/>
      <c r="BY75" s="125"/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  <c r="DE75" s="125"/>
      <c r="DF75" s="125"/>
      <c r="DG75" s="125"/>
      <c r="DH75" s="125"/>
      <c r="DI75" s="125"/>
      <c r="DJ75" s="125"/>
      <c r="DK75" s="125"/>
      <c r="DL75" s="125"/>
      <c r="DM75" s="125"/>
      <c r="DN75" s="125"/>
      <c r="DO75" s="125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>
        <v>185918.91</v>
      </c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25"/>
      <c r="FV75" s="125"/>
      <c r="FW75" s="125"/>
      <c r="FX75" s="125"/>
      <c r="FY75" s="125"/>
      <c r="FZ75" s="125"/>
      <c r="GA75" s="125"/>
      <c r="GB75" s="125"/>
      <c r="GC75" s="125"/>
      <c r="GD75" s="125"/>
      <c r="GE75" s="125"/>
      <c r="GF75" s="125"/>
      <c r="GG75" s="125"/>
      <c r="GH75" s="125"/>
      <c r="GI75" s="125"/>
      <c r="GJ75" s="125"/>
      <c r="GK75" s="125"/>
      <c r="GL75" s="125"/>
      <c r="GM75" s="125"/>
      <c r="GN75" s="125"/>
      <c r="GO75" s="125"/>
      <c r="GP75" s="125"/>
      <c r="GQ75" s="125"/>
      <c r="GR75" s="125"/>
      <c r="GS75" s="125"/>
      <c r="GT75" s="125"/>
      <c r="GU75" s="125"/>
      <c r="GV75" s="125"/>
      <c r="GW75" s="125"/>
      <c r="GX75" s="125"/>
      <c r="GY75" s="125"/>
      <c r="GZ75" s="125"/>
      <c r="HA75" s="125"/>
      <c r="HB75" s="125"/>
      <c r="HC75" s="125"/>
      <c r="HD75" s="125"/>
      <c r="HE75" s="125"/>
      <c r="HF75" s="125"/>
      <c r="HG75" s="125"/>
      <c r="HH75" s="125"/>
      <c r="HI75" s="125"/>
      <c r="HJ75" s="125"/>
      <c r="HK75" s="125"/>
      <c r="HL75" s="125"/>
      <c r="HM75" s="125"/>
      <c r="HN75" s="125"/>
      <c r="HO75" s="125"/>
      <c r="HP75" s="125"/>
      <c r="HQ75" s="125"/>
      <c r="HR75" s="125"/>
      <c r="HS75" s="125"/>
      <c r="HT75" s="125"/>
      <c r="HU75" s="125"/>
      <c r="HV75" s="125"/>
      <c r="HW75" s="125"/>
      <c r="HX75" s="125"/>
      <c r="HY75" s="125"/>
      <c r="HZ75" s="125"/>
      <c r="IA75" s="125"/>
      <c r="IB75" s="125"/>
      <c r="IC75" s="125"/>
      <c r="ID75" s="125"/>
      <c r="IE75" s="125"/>
      <c r="IF75" s="125"/>
      <c r="IG75" s="125"/>
      <c r="IH75" s="125"/>
      <c r="II75" s="125"/>
      <c r="IJ75" s="125"/>
      <c r="IK75" s="125"/>
      <c r="IL75" s="125"/>
      <c r="IM75" s="125"/>
      <c r="IN75" s="125"/>
      <c r="IO75" s="125"/>
      <c r="IP75" s="125"/>
      <c r="IQ75" s="125"/>
      <c r="IR75" s="125"/>
      <c r="IS75" s="125"/>
      <c r="IT75" s="125"/>
      <c r="IU75" s="125"/>
      <c r="IV75" s="125"/>
      <c r="IW75" s="125"/>
      <c r="IX75" s="125"/>
      <c r="IY75" s="125"/>
      <c r="IZ75" s="125"/>
      <c r="JA75" s="125"/>
      <c r="JB75" s="125"/>
      <c r="JC75" s="125"/>
      <c r="JD75" s="125"/>
      <c r="JE75" s="125"/>
      <c r="JF75" s="125"/>
      <c r="JG75" s="125"/>
      <c r="JH75" s="125"/>
      <c r="JI75" s="119">
        <f t="shared" si="2"/>
        <v>185918.91</v>
      </c>
      <c r="JJ75" s="315">
        <v>2129</v>
      </c>
      <c r="JK75" s="125"/>
      <c r="JL75" s="125">
        <f t="shared" si="3"/>
        <v>185918.91</v>
      </c>
      <c r="JM75" s="1"/>
      <c r="JN75" s="1"/>
      <c r="JO75" s="1"/>
      <c r="JP75" s="1"/>
    </row>
    <row r="76" spans="1:276" x14ac:dyDescent="0.25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5"/>
      <c r="BT76" s="125"/>
      <c r="BU76" s="125"/>
      <c r="BV76" s="125"/>
      <c r="BW76" s="125"/>
      <c r="BX76" s="125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5"/>
      <c r="CR76" s="125"/>
      <c r="CS76" s="125"/>
      <c r="CT76" s="125"/>
      <c r="CU76" s="125"/>
      <c r="CV76" s="125"/>
      <c r="CW76" s="125"/>
      <c r="CX76" s="125"/>
      <c r="CY76" s="125"/>
      <c r="CZ76" s="125"/>
      <c r="DA76" s="125"/>
      <c r="DB76" s="125"/>
      <c r="DC76" s="125"/>
      <c r="DD76" s="125"/>
      <c r="DE76" s="125"/>
      <c r="DF76" s="125"/>
      <c r="DG76" s="125"/>
      <c r="DH76" s="125"/>
      <c r="DI76" s="125"/>
      <c r="DJ76" s="125"/>
      <c r="DK76" s="125"/>
      <c r="DL76" s="125"/>
      <c r="DM76" s="125"/>
      <c r="DN76" s="125"/>
      <c r="DO76" s="125"/>
      <c r="DP76" s="125"/>
      <c r="DQ76" s="125"/>
      <c r="DR76" s="125"/>
      <c r="DS76" s="125"/>
      <c r="DT76" s="125"/>
      <c r="DU76" s="125">
        <v>9487.2000000000007</v>
      </c>
      <c r="DV76" s="125"/>
      <c r="DW76" s="125"/>
      <c r="DX76" s="125"/>
      <c r="DY76" s="125"/>
      <c r="DZ76" s="125"/>
      <c r="EA76" s="125"/>
      <c r="EB76" s="125"/>
      <c r="EC76" s="125"/>
      <c r="ED76" s="125"/>
      <c r="EE76" s="125"/>
      <c r="EF76" s="125"/>
      <c r="EG76" s="125"/>
      <c r="EH76" s="125"/>
      <c r="EI76" s="125"/>
      <c r="EJ76" s="125"/>
      <c r="EK76" s="125"/>
      <c r="EL76" s="125"/>
      <c r="EM76" s="125"/>
      <c r="EN76" s="125"/>
      <c r="EO76" s="125"/>
      <c r="EP76" s="125"/>
      <c r="EQ76" s="125"/>
      <c r="ER76" s="125"/>
      <c r="ES76" s="125"/>
      <c r="ET76" s="125"/>
      <c r="EU76" s="125"/>
      <c r="EV76" s="125"/>
      <c r="EW76" s="125"/>
      <c r="EX76" s="125"/>
      <c r="EY76" s="125"/>
      <c r="EZ76" s="125"/>
      <c r="FA76" s="125"/>
      <c r="FB76" s="125"/>
      <c r="FC76" s="125"/>
      <c r="FD76" s="125"/>
      <c r="FE76" s="125"/>
      <c r="FF76" s="125"/>
      <c r="FG76" s="125"/>
      <c r="FH76" s="125"/>
      <c r="FI76" s="125"/>
      <c r="FJ76" s="125"/>
      <c r="FK76" s="125"/>
      <c r="FL76" s="125"/>
      <c r="FM76" s="125"/>
      <c r="FN76" s="125"/>
      <c r="FO76" s="125"/>
      <c r="FP76" s="125"/>
      <c r="FQ76" s="125"/>
      <c r="FR76" s="125"/>
      <c r="FS76" s="125"/>
      <c r="FT76" s="125"/>
      <c r="FU76" s="125"/>
      <c r="FV76" s="125"/>
      <c r="FW76" s="125"/>
      <c r="FX76" s="125"/>
      <c r="FY76" s="125"/>
      <c r="FZ76" s="125"/>
      <c r="GA76" s="125"/>
      <c r="GB76" s="125"/>
      <c r="GC76" s="125"/>
      <c r="GD76" s="125"/>
      <c r="GE76" s="125"/>
      <c r="GF76" s="125"/>
      <c r="GG76" s="125"/>
      <c r="GH76" s="125"/>
      <c r="GI76" s="125"/>
      <c r="GJ76" s="125"/>
      <c r="GK76" s="125"/>
      <c r="GL76" s="125"/>
      <c r="GM76" s="125"/>
      <c r="GN76" s="125"/>
      <c r="GO76" s="125"/>
      <c r="GP76" s="125"/>
      <c r="GQ76" s="125"/>
      <c r="GR76" s="125"/>
      <c r="GS76" s="125"/>
      <c r="GT76" s="125"/>
      <c r="GU76" s="125"/>
      <c r="GV76" s="125"/>
      <c r="GW76" s="125"/>
      <c r="GX76" s="125"/>
      <c r="GY76" s="125"/>
      <c r="GZ76" s="125"/>
      <c r="HA76" s="125"/>
      <c r="HB76" s="125"/>
      <c r="HC76" s="125"/>
      <c r="HD76" s="125"/>
      <c r="HE76" s="125"/>
      <c r="HF76" s="125"/>
      <c r="HG76" s="125"/>
      <c r="HH76" s="125"/>
      <c r="HI76" s="125"/>
      <c r="HJ76" s="125"/>
      <c r="HK76" s="125"/>
      <c r="HL76" s="125"/>
      <c r="HM76" s="125"/>
      <c r="HN76" s="125"/>
      <c r="HO76" s="125"/>
      <c r="HP76" s="125"/>
      <c r="HQ76" s="125"/>
      <c r="HR76" s="125"/>
      <c r="HS76" s="125"/>
      <c r="HT76" s="125"/>
      <c r="HU76" s="125"/>
      <c r="HV76" s="125"/>
      <c r="HW76" s="125"/>
      <c r="HX76" s="125"/>
      <c r="HY76" s="125"/>
      <c r="HZ76" s="125"/>
      <c r="IA76" s="125"/>
      <c r="IB76" s="125"/>
      <c r="IC76" s="125"/>
      <c r="ID76" s="125"/>
      <c r="IE76" s="125"/>
      <c r="IF76" s="125"/>
      <c r="IG76" s="125"/>
      <c r="IH76" s="125"/>
      <c r="II76" s="125"/>
      <c r="IJ76" s="125"/>
      <c r="IK76" s="125"/>
      <c r="IL76" s="125"/>
      <c r="IM76" s="125"/>
      <c r="IN76" s="125"/>
      <c r="IO76" s="125"/>
      <c r="IP76" s="125"/>
      <c r="IQ76" s="125"/>
      <c r="IR76" s="125"/>
      <c r="IS76" s="125"/>
      <c r="IT76" s="125"/>
      <c r="IU76" s="125"/>
      <c r="IV76" s="125"/>
      <c r="IW76" s="125"/>
      <c r="IX76" s="125"/>
      <c r="IY76" s="125"/>
      <c r="IZ76" s="125"/>
      <c r="JA76" s="125"/>
      <c r="JB76" s="125"/>
      <c r="JC76" s="125"/>
      <c r="JD76" s="125"/>
      <c r="JE76" s="125"/>
      <c r="JF76" s="125"/>
      <c r="JG76" s="125"/>
      <c r="JH76" s="125"/>
      <c r="JI76" s="119">
        <f t="shared" si="2"/>
        <v>9487.2000000000007</v>
      </c>
      <c r="JJ76" s="315">
        <v>2133</v>
      </c>
      <c r="JK76" s="125"/>
      <c r="JL76" s="125">
        <f t="shared" si="3"/>
        <v>9487.2000000000007</v>
      </c>
      <c r="JM76" s="1"/>
      <c r="JN76" s="1"/>
      <c r="JO76" s="1"/>
      <c r="JP76" s="1"/>
    </row>
    <row r="77" spans="1:276" x14ac:dyDescent="0.25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5"/>
      <c r="BT77" s="125"/>
      <c r="BU77" s="125"/>
      <c r="BV77" s="125"/>
      <c r="BW77" s="125"/>
      <c r="BX77" s="125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5"/>
      <c r="CR77" s="125"/>
      <c r="CS77" s="125"/>
      <c r="CT77" s="125"/>
      <c r="CU77" s="125"/>
      <c r="CV77" s="125"/>
      <c r="CW77" s="125"/>
      <c r="CX77" s="125"/>
      <c r="CY77" s="125"/>
      <c r="CZ77" s="125"/>
      <c r="DA77" s="125"/>
      <c r="DB77" s="125"/>
      <c r="DC77" s="125"/>
      <c r="DD77" s="125"/>
      <c r="DE77" s="125"/>
      <c r="DF77" s="125"/>
      <c r="DG77" s="125"/>
      <c r="DH77" s="125"/>
      <c r="DI77" s="125"/>
      <c r="DJ77" s="125"/>
      <c r="DK77" s="125"/>
      <c r="DL77" s="125"/>
      <c r="DM77" s="125"/>
      <c r="DN77" s="125"/>
      <c r="DO77" s="125"/>
      <c r="DP77" s="125"/>
      <c r="DQ77" s="125"/>
      <c r="DR77" s="125"/>
      <c r="DS77" s="125"/>
      <c r="DT77" s="125"/>
      <c r="DU77" s="125"/>
      <c r="DV77" s="125"/>
      <c r="DW77" s="125"/>
      <c r="DX77" s="125"/>
      <c r="DY77" s="125"/>
      <c r="DZ77" s="125"/>
      <c r="EA77" s="125">
        <v>234000</v>
      </c>
      <c r="EB77" s="125"/>
      <c r="EC77" s="125"/>
      <c r="ED77" s="125"/>
      <c r="EE77" s="125"/>
      <c r="EF77" s="125"/>
      <c r="EG77" s="125"/>
      <c r="EH77" s="125"/>
      <c r="EI77" s="125"/>
      <c r="EJ77" s="125"/>
      <c r="EK77" s="125"/>
      <c r="EL77" s="125"/>
      <c r="EM77" s="125"/>
      <c r="EN77" s="125"/>
      <c r="EO77" s="125"/>
      <c r="EP77" s="125"/>
      <c r="EQ77" s="125"/>
      <c r="ER77" s="125"/>
      <c r="ES77" s="125"/>
      <c r="ET77" s="125"/>
      <c r="EU77" s="125"/>
      <c r="EV77" s="125"/>
      <c r="EW77" s="125"/>
      <c r="EX77" s="125"/>
      <c r="EY77" s="125"/>
      <c r="EZ77" s="125"/>
      <c r="FA77" s="125"/>
      <c r="FB77" s="125"/>
      <c r="FC77" s="125"/>
      <c r="FD77" s="125"/>
      <c r="FE77" s="125"/>
      <c r="FF77" s="125"/>
      <c r="FG77" s="125"/>
      <c r="FH77" s="125"/>
      <c r="FI77" s="125"/>
      <c r="FJ77" s="125"/>
      <c r="FK77" s="125"/>
      <c r="FL77" s="125"/>
      <c r="FM77" s="125"/>
      <c r="FN77" s="125"/>
      <c r="FO77" s="125"/>
      <c r="FP77" s="125"/>
      <c r="FQ77" s="125"/>
      <c r="FR77" s="125"/>
      <c r="FS77" s="125"/>
      <c r="FT77" s="125"/>
      <c r="FU77" s="125"/>
      <c r="FV77" s="125"/>
      <c r="FW77" s="125"/>
      <c r="FX77" s="125"/>
      <c r="FY77" s="125"/>
      <c r="FZ77" s="125"/>
      <c r="GA77" s="125"/>
      <c r="GB77" s="125"/>
      <c r="GC77" s="125"/>
      <c r="GD77" s="125"/>
      <c r="GE77" s="125"/>
      <c r="GF77" s="125"/>
      <c r="GG77" s="125"/>
      <c r="GH77" s="125"/>
      <c r="GI77" s="125"/>
      <c r="GJ77" s="125"/>
      <c r="GK77" s="125"/>
      <c r="GL77" s="125"/>
      <c r="GM77" s="125"/>
      <c r="GN77" s="125"/>
      <c r="GO77" s="125"/>
      <c r="GP77" s="125"/>
      <c r="GQ77" s="125"/>
      <c r="GR77" s="125"/>
      <c r="GS77" s="125"/>
      <c r="GT77" s="125"/>
      <c r="GU77" s="125"/>
      <c r="GV77" s="125"/>
      <c r="GW77" s="125"/>
      <c r="GX77" s="125"/>
      <c r="GY77" s="125"/>
      <c r="GZ77" s="125"/>
      <c r="HA77" s="125"/>
      <c r="HB77" s="125"/>
      <c r="HC77" s="125"/>
      <c r="HD77" s="125"/>
      <c r="HE77" s="125"/>
      <c r="HF77" s="125"/>
      <c r="HG77" s="125"/>
      <c r="HH77" s="125"/>
      <c r="HI77" s="125"/>
      <c r="HJ77" s="125"/>
      <c r="HK77" s="125"/>
      <c r="HL77" s="125"/>
      <c r="HM77" s="125"/>
      <c r="HN77" s="125"/>
      <c r="HO77" s="125"/>
      <c r="HP77" s="125"/>
      <c r="HQ77" s="125"/>
      <c r="HR77" s="125"/>
      <c r="HS77" s="125"/>
      <c r="HT77" s="125"/>
      <c r="HU77" s="125"/>
      <c r="HV77" s="125"/>
      <c r="HW77" s="125"/>
      <c r="HX77" s="125"/>
      <c r="HY77" s="125"/>
      <c r="HZ77" s="125"/>
      <c r="IA77" s="125"/>
      <c r="IB77" s="125"/>
      <c r="IC77" s="125"/>
      <c r="ID77" s="125"/>
      <c r="IE77" s="125"/>
      <c r="IF77" s="125"/>
      <c r="IG77" s="125"/>
      <c r="IH77" s="125"/>
      <c r="II77" s="125"/>
      <c r="IJ77" s="125"/>
      <c r="IK77" s="125"/>
      <c r="IL77" s="125"/>
      <c r="IM77" s="125"/>
      <c r="IN77" s="125"/>
      <c r="IO77" s="125"/>
      <c r="IP77" s="125"/>
      <c r="IQ77" s="125"/>
      <c r="IR77" s="125"/>
      <c r="IS77" s="125"/>
      <c r="IT77" s="125"/>
      <c r="IU77" s="125"/>
      <c r="IV77" s="125"/>
      <c r="IW77" s="125"/>
      <c r="IX77" s="125"/>
      <c r="IY77" s="125"/>
      <c r="IZ77" s="125"/>
      <c r="JA77" s="125"/>
      <c r="JB77" s="125"/>
      <c r="JC77" s="125"/>
      <c r="JD77" s="125"/>
      <c r="JE77" s="125"/>
      <c r="JF77" s="125"/>
      <c r="JG77" s="125"/>
      <c r="JH77" s="125"/>
      <c r="JI77" s="119">
        <f t="shared" si="2"/>
        <v>234000</v>
      </c>
      <c r="JJ77" s="315">
        <v>2137</v>
      </c>
      <c r="JK77" s="125"/>
      <c r="JL77" s="125">
        <f t="shared" si="3"/>
        <v>234000</v>
      </c>
      <c r="JM77" s="1"/>
      <c r="JN77" s="1"/>
      <c r="JO77" s="1"/>
      <c r="JP77" s="1"/>
    </row>
    <row r="78" spans="1:276" x14ac:dyDescent="0.25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  <c r="BM78" s="125"/>
      <c r="BN78" s="125"/>
      <c r="BO78" s="125"/>
      <c r="BP78" s="125"/>
      <c r="BQ78" s="125"/>
      <c r="BR78" s="125"/>
      <c r="BS78" s="125"/>
      <c r="BT78" s="125"/>
      <c r="BU78" s="125"/>
      <c r="BV78" s="125"/>
      <c r="BW78" s="125"/>
      <c r="BX78" s="125"/>
      <c r="BY78" s="125"/>
      <c r="BZ78" s="125"/>
      <c r="CA78" s="125"/>
      <c r="CB78" s="125"/>
      <c r="CC78" s="125"/>
      <c r="CD78" s="125"/>
      <c r="CE78" s="125"/>
      <c r="CF78" s="125"/>
      <c r="CG78" s="125"/>
      <c r="CH78" s="125"/>
      <c r="CI78" s="125"/>
      <c r="CJ78" s="125"/>
      <c r="CK78" s="125"/>
      <c r="CL78" s="125"/>
      <c r="CM78" s="125"/>
      <c r="CN78" s="125"/>
      <c r="CO78" s="125"/>
      <c r="CP78" s="125"/>
      <c r="CQ78" s="125"/>
      <c r="CR78" s="125"/>
      <c r="CS78" s="125"/>
      <c r="CT78" s="125"/>
      <c r="CU78" s="125"/>
      <c r="CV78" s="125"/>
      <c r="CW78" s="125"/>
      <c r="CX78" s="125"/>
      <c r="CY78" s="125"/>
      <c r="CZ78" s="125"/>
      <c r="DA78" s="125"/>
      <c r="DB78" s="125"/>
      <c r="DC78" s="125"/>
      <c r="DD78" s="125"/>
      <c r="DE78" s="125"/>
      <c r="DF78" s="125"/>
      <c r="DG78" s="125"/>
      <c r="DH78" s="125"/>
      <c r="DI78" s="125"/>
      <c r="DJ78" s="125"/>
      <c r="DK78" s="125"/>
      <c r="DL78" s="125"/>
      <c r="DM78" s="125"/>
      <c r="DN78" s="125"/>
      <c r="DO78" s="125"/>
      <c r="DP78" s="125"/>
      <c r="DQ78" s="125"/>
      <c r="DR78" s="125"/>
      <c r="DS78" s="125"/>
      <c r="DT78" s="125"/>
      <c r="DU78" s="125"/>
      <c r="DV78" s="125"/>
      <c r="DW78" s="125"/>
      <c r="DX78" s="125"/>
      <c r="DY78" s="125"/>
      <c r="DZ78" s="125"/>
      <c r="EA78" s="125">
        <v>219000</v>
      </c>
      <c r="EB78" s="125"/>
      <c r="EC78" s="125"/>
      <c r="ED78" s="125"/>
      <c r="EE78" s="125"/>
      <c r="EF78" s="125"/>
      <c r="EG78" s="125"/>
      <c r="EH78" s="125"/>
      <c r="EI78" s="125"/>
      <c r="EJ78" s="125"/>
      <c r="EK78" s="125"/>
      <c r="EL78" s="125"/>
      <c r="EM78" s="125"/>
      <c r="EN78" s="125"/>
      <c r="EO78" s="125"/>
      <c r="EP78" s="125"/>
      <c r="EQ78" s="125"/>
      <c r="ER78" s="125"/>
      <c r="ES78" s="125"/>
      <c r="ET78" s="125"/>
      <c r="EU78" s="125"/>
      <c r="EV78" s="125"/>
      <c r="EW78" s="125"/>
      <c r="EX78" s="125"/>
      <c r="EY78" s="125"/>
      <c r="EZ78" s="125"/>
      <c r="FA78" s="125"/>
      <c r="FB78" s="125"/>
      <c r="FC78" s="125"/>
      <c r="FD78" s="125"/>
      <c r="FE78" s="125"/>
      <c r="FF78" s="125"/>
      <c r="FG78" s="125"/>
      <c r="FH78" s="125"/>
      <c r="FI78" s="125"/>
      <c r="FJ78" s="125"/>
      <c r="FK78" s="125"/>
      <c r="FL78" s="125"/>
      <c r="FM78" s="125"/>
      <c r="FN78" s="125"/>
      <c r="FO78" s="125"/>
      <c r="FP78" s="125"/>
      <c r="FQ78" s="125"/>
      <c r="FR78" s="125"/>
      <c r="FS78" s="125"/>
      <c r="FT78" s="125"/>
      <c r="FU78" s="125"/>
      <c r="FV78" s="125"/>
      <c r="FW78" s="125"/>
      <c r="FX78" s="125"/>
      <c r="FY78" s="125"/>
      <c r="FZ78" s="125"/>
      <c r="GA78" s="125"/>
      <c r="GB78" s="125"/>
      <c r="GC78" s="125"/>
      <c r="GD78" s="125"/>
      <c r="GE78" s="125"/>
      <c r="GF78" s="125"/>
      <c r="GG78" s="125"/>
      <c r="GH78" s="125"/>
      <c r="GI78" s="125"/>
      <c r="GJ78" s="125"/>
      <c r="GK78" s="125"/>
      <c r="GL78" s="125"/>
      <c r="GM78" s="125"/>
      <c r="GN78" s="125"/>
      <c r="GO78" s="125"/>
      <c r="GP78" s="125"/>
      <c r="GQ78" s="125"/>
      <c r="GR78" s="125"/>
      <c r="GS78" s="125"/>
      <c r="GT78" s="125"/>
      <c r="GU78" s="125"/>
      <c r="GV78" s="125"/>
      <c r="GW78" s="125"/>
      <c r="GX78" s="125"/>
      <c r="GY78" s="125"/>
      <c r="GZ78" s="125"/>
      <c r="HA78" s="125"/>
      <c r="HB78" s="125"/>
      <c r="HC78" s="125"/>
      <c r="HD78" s="125"/>
      <c r="HE78" s="125"/>
      <c r="HF78" s="125"/>
      <c r="HG78" s="125"/>
      <c r="HH78" s="125"/>
      <c r="HI78" s="125"/>
      <c r="HJ78" s="125"/>
      <c r="HK78" s="125"/>
      <c r="HL78" s="125"/>
      <c r="HM78" s="125"/>
      <c r="HN78" s="125"/>
      <c r="HO78" s="125"/>
      <c r="HP78" s="125"/>
      <c r="HQ78" s="125"/>
      <c r="HR78" s="125"/>
      <c r="HS78" s="125"/>
      <c r="HT78" s="125"/>
      <c r="HU78" s="125"/>
      <c r="HV78" s="125"/>
      <c r="HW78" s="125"/>
      <c r="HX78" s="125"/>
      <c r="HY78" s="125"/>
      <c r="HZ78" s="125"/>
      <c r="IA78" s="125"/>
      <c r="IB78" s="125"/>
      <c r="IC78" s="125"/>
      <c r="ID78" s="125"/>
      <c r="IE78" s="125"/>
      <c r="IF78" s="125"/>
      <c r="IG78" s="125"/>
      <c r="IH78" s="125"/>
      <c r="II78" s="125"/>
      <c r="IJ78" s="125"/>
      <c r="IK78" s="125"/>
      <c r="IL78" s="125"/>
      <c r="IM78" s="125"/>
      <c r="IN78" s="125"/>
      <c r="IO78" s="125"/>
      <c r="IP78" s="125"/>
      <c r="IQ78" s="125"/>
      <c r="IR78" s="125"/>
      <c r="IS78" s="125"/>
      <c r="IT78" s="125"/>
      <c r="IU78" s="125"/>
      <c r="IV78" s="125"/>
      <c r="IW78" s="125"/>
      <c r="IX78" s="125"/>
      <c r="IY78" s="125"/>
      <c r="IZ78" s="125"/>
      <c r="JA78" s="125"/>
      <c r="JB78" s="125"/>
      <c r="JC78" s="125"/>
      <c r="JD78" s="125"/>
      <c r="JE78" s="125"/>
      <c r="JF78" s="125"/>
      <c r="JG78" s="125"/>
      <c r="JH78" s="125"/>
      <c r="JI78" s="119">
        <f t="shared" si="2"/>
        <v>219000</v>
      </c>
      <c r="JJ78" s="315">
        <v>2141</v>
      </c>
      <c r="JK78" s="125"/>
      <c r="JL78" s="125">
        <f t="shared" si="3"/>
        <v>219000</v>
      </c>
      <c r="JM78" s="1"/>
      <c r="JN78" s="1"/>
      <c r="JO78" s="1"/>
      <c r="JP78" s="1"/>
    </row>
    <row r="79" spans="1:276" x14ac:dyDescent="0.25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5"/>
      <c r="BT79" s="125"/>
      <c r="BU79" s="125"/>
      <c r="BV79" s="125"/>
      <c r="BW79" s="125"/>
      <c r="BX79" s="125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5"/>
      <c r="CR79" s="125"/>
      <c r="CS79" s="125"/>
      <c r="CT79" s="125"/>
      <c r="CU79" s="125"/>
      <c r="CV79" s="125"/>
      <c r="CW79" s="125"/>
      <c r="CX79" s="125"/>
      <c r="CY79" s="125"/>
      <c r="CZ79" s="125"/>
      <c r="DA79" s="125"/>
      <c r="DB79" s="125"/>
      <c r="DC79" s="125"/>
      <c r="DD79" s="125"/>
      <c r="DE79" s="125"/>
      <c r="DF79" s="125"/>
      <c r="DG79" s="125"/>
      <c r="DH79" s="125"/>
      <c r="DI79" s="125"/>
      <c r="DJ79" s="125"/>
      <c r="DK79" s="125"/>
      <c r="DL79" s="125"/>
      <c r="DM79" s="125"/>
      <c r="DN79" s="125"/>
      <c r="DO79" s="125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>
        <v>247998.24</v>
      </c>
      <c r="FU79" s="125"/>
      <c r="FV79" s="125"/>
      <c r="FW79" s="125"/>
      <c r="FX79" s="125"/>
      <c r="FY79" s="125"/>
      <c r="FZ79" s="125"/>
      <c r="GA79" s="125"/>
      <c r="GB79" s="125"/>
      <c r="GC79" s="125"/>
      <c r="GD79" s="125"/>
      <c r="GE79" s="125"/>
      <c r="GF79" s="125"/>
      <c r="GG79" s="125"/>
      <c r="GH79" s="125"/>
      <c r="GI79" s="125"/>
      <c r="GJ79" s="125"/>
      <c r="GK79" s="125"/>
      <c r="GL79" s="125"/>
      <c r="GM79" s="125"/>
      <c r="GN79" s="125"/>
      <c r="GO79" s="125"/>
      <c r="GP79" s="125"/>
      <c r="GQ79" s="125"/>
      <c r="GR79" s="125"/>
      <c r="GS79" s="125"/>
      <c r="GT79" s="125"/>
      <c r="GU79" s="125"/>
      <c r="GV79" s="125"/>
      <c r="GW79" s="125"/>
      <c r="GX79" s="125"/>
      <c r="GY79" s="125"/>
      <c r="GZ79" s="125"/>
      <c r="HA79" s="125"/>
      <c r="HB79" s="125"/>
      <c r="HC79" s="125"/>
      <c r="HD79" s="125"/>
      <c r="HE79" s="125"/>
      <c r="HF79" s="125"/>
      <c r="HG79" s="125"/>
      <c r="HH79" s="125"/>
      <c r="HI79" s="125"/>
      <c r="HJ79" s="125"/>
      <c r="HK79" s="125"/>
      <c r="HL79" s="125"/>
      <c r="HM79" s="125"/>
      <c r="HN79" s="125"/>
      <c r="HO79" s="125"/>
      <c r="HP79" s="125"/>
      <c r="HQ79" s="125"/>
      <c r="HR79" s="125"/>
      <c r="HS79" s="125"/>
      <c r="HT79" s="125"/>
      <c r="HU79" s="125"/>
      <c r="HV79" s="125"/>
      <c r="HW79" s="125"/>
      <c r="HX79" s="125"/>
      <c r="HY79" s="125"/>
      <c r="HZ79" s="125"/>
      <c r="IA79" s="125"/>
      <c r="IB79" s="125"/>
      <c r="IC79" s="125"/>
      <c r="ID79" s="125"/>
      <c r="IE79" s="125"/>
      <c r="IF79" s="125"/>
      <c r="IG79" s="125"/>
      <c r="IH79" s="125"/>
      <c r="II79" s="125"/>
      <c r="IJ79" s="125"/>
      <c r="IK79" s="125"/>
      <c r="IL79" s="125"/>
      <c r="IM79" s="125"/>
      <c r="IN79" s="125"/>
      <c r="IO79" s="125"/>
      <c r="IP79" s="125"/>
      <c r="IQ79" s="125"/>
      <c r="IR79" s="125"/>
      <c r="IS79" s="125"/>
      <c r="IT79" s="125"/>
      <c r="IU79" s="125"/>
      <c r="IV79" s="125"/>
      <c r="IW79" s="125"/>
      <c r="IX79" s="125"/>
      <c r="IY79" s="125"/>
      <c r="IZ79" s="125"/>
      <c r="JA79" s="125"/>
      <c r="JB79" s="125"/>
      <c r="JC79" s="125"/>
      <c r="JD79" s="125"/>
      <c r="JE79" s="125"/>
      <c r="JF79" s="125"/>
      <c r="JG79" s="125"/>
      <c r="JH79" s="125"/>
      <c r="JI79" s="119">
        <f t="shared" si="2"/>
        <v>247998.24</v>
      </c>
      <c r="JJ79" s="315">
        <v>2147</v>
      </c>
      <c r="JK79" s="125"/>
      <c r="JL79" s="125">
        <f t="shared" si="3"/>
        <v>247998.24</v>
      </c>
      <c r="JM79" s="1"/>
      <c r="JN79" s="1"/>
      <c r="JO79" s="1"/>
      <c r="JP79" s="1"/>
    </row>
    <row r="80" spans="1:276" x14ac:dyDescent="0.25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5"/>
      <c r="BT80" s="125"/>
      <c r="BU80" s="125"/>
      <c r="BV80" s="125"/>
      <c r="BW80" s="125"/>
      <c r="BX80" s="125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5"/>
      <c r="CR80" s="125"/>
      <c r="CS80" s="125"/>
      <c r="CT80" s="125"/>
      <c r="CU80" s="125"/>
      <c r="CV80" s="125"/>
      <c r="CW80" s="125"/>
      <c r="CX80" s="125"/>
      <c r="CY80" s="125"/>
      <c r="CZ80" s="125"/>
      <c r="DA80" s="125"/>
      <c r="DB80" s="125"/>
      <c r="DC80" s="125"/>
      <c r="DD80" s="125"/>
      <c r="DE80" s="125"/>
      <c r="DF80" s="125"/>
      <c r="DG80" s="125"/>
      <c r="DH80" s="125"/>
      <c r="DI80" s="125"/>
      <c r="DJ80" s="125"/>
      <c r="DK80" s="125"/>
      <c r="DL80" s="125"/>
      <c r="DM80" s="125"/>
      <c r="DN80" s="125"/>
      <c r="DO80" s="125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>
        <v>269040</v>
      </c>
      <c r="FU80" s="125"/>
      <c r="FV80" s="125"/>
      <c r="FW80" s="125"/>
      <c r="FX80" s="125"/>
      <c r="FY80" s="125"/>
      <c r="FZ80" s="125"/>
      <c r="GA80" s="125"/>
      <c r="GB80" s="125"/>
      <c r="GC80" s="125"/>
      <c r="GD80" s="125"/>
      <c r="GE80" s="125"/>
      <c r="GF80" s="125"/>
      <c r="GG80" s="125"/>
      <c r="GH80" s="125"/>
      <c r="GI80" s="125"/>
      <c r="GJ80" s="125"/>
      <c r="GK80" s="125"/>
      <c r="GL80" s="125"/>
      <c r="GM80" s="125"/>
      <c r="GN80" s="125"/>
      <c r="GO80" s="125"/>
      <c r="GP80" s="125"/>
      <c r="GQ80" s="125"/>
      <c r="GR80" s="125"/>
      <c r="GS80" s="125"/>
      <c r="GT80" s="125"/>
      <c r="GU80" s="125"/>
      <c r="GV80" s="125"/>
      <c r="GW80" s="125"/>
      <c r="GX80" s="125"/>
      <c r="GY80" s="125"/>
      <c r="GZ80" s="125"/>
      <c r="HA80" s="125"/>
      <c r="HB80" s="125"/>
      <c r="HC80" s="125"/>
      <c r="HD80" s="125"/>
      <c r="HE80" s="125"/>
      <c r="HF80" s="125"/>
      <c r="HG80" s="125"/>
      <c r="HH80" s="125"/>
      <c r="HI80" s="125"/>
      <c r="HJ80" s="125"/>
      <c r="HK80" s="125"/>
      <c r="HL80" s="125"/>
      <c r="HM80" s="125"/>
      <c r="HN80" s="125"/>
      <c r="HO80" s="125"/>
      <c r="HP80" s="125"/>
      <c r="HQ80" s="125"/>
      <c r="HR80" s="125"/>
      <c r="HS80" s="125"/>
      <c r="HT80" s="125"/>
      <c r="HU80" s="125"/>
      <c r="HV80" s="125"/>
      <c r="HW80" s="125"/>
      <c r="HX80" s="125"/>
      <c r="HY80" s="125"/>
      <c r="HZ80" s="125"/>
      <c r="IA80" s="125"/>
      <c r="IB80" s="125"/>
      <c r="IC80" s="125"/>
      <c r="ID80" s="125"/>
      <c r="IE80" s="125"/>
      <c r="IF80" s="125"/>
      <c r="IG80" s="125"/>
      <c r="IH80" s="125"/>
      <c r="II80" s="125"/>
      <c r="IJ80" s="125"/>
      <c r="IK80" s="125"/>
      <c r="IL80" s="125"/>
      <c r="IM80" s="125"/>
      <c r="IN80" s="125"/>
      <c r="IO80" s="125"/>
      <c r="IP80" s="125"/>
      <c r="IQ80" s="125"/>
      <c r="IR80" s="125"/>
      <c r="IS80" s="125"/>
      <c r="IT80" s="125"/>
      <c r="IU80" s="125"/>
      <c r="IV80" s="125"/>
      <c r="IW80" s="125"/>
      <c r="IX80" s="125"/>
      <c r="IY80" s="125"/>
      <c r="IZ80" s="125"/>
      <c r="JA80" s="125"/>
      <c r="JB80" s="125"/>
      <c r="JC80" s="125"/>
      <c r="JD80" s="125"/>
      <c r="JE80" s="125"/>
      <c r="JF80" s="125"/>
      <c r="JG80" s="125"/>
      <c r="JH80" s="125"/>
      <c r="JI80" s="119">
        <f t="shared" si="2"/>
        <v>269040</v>
      </c>
      <c r="JJ80" s="315">
        <v>2151</v>
      </c>
      <c r="JK80" s="125"/>
      <c r="JL80" s="125">
        <f t="shared" si="3"/>
        <v>269040</v>
      </c>
      <c r="JM80" s="1"/>
      <c r="JN80" s="1"/>
      <c r="JO80" s="1"/>
      <c r="JP80" s="1"/>
    </row>
    <row r="81" spans="1:276" x14ac:dyDescent="0.25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/>
      <c r="DK81" s="125"/>
      <c r="DL81" s="125"/>
      <c r="DM81" s="125"/>
      <c r="DN81" s="125"/>
      <c r="DO81" s="125"/>
      <c r="DP81" s="125"/>
      <c r="DQ81" s="125"/>
      <c r="DR81" s="125"/>
      <c r="DS81" s="125"/>
      <c r="DT81" s="125"/>
      <c r="DU81" s="125"/>
      <c r="DV81" s="125"/>
      <c r="DW81" s="125"/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>
        <v>129664</v>
      </c>
      <c r="FU81" s="125"/>
      <c r="FV81" s="125"/>
      <c r="FW81" s="125"/>
      <c r="FX81" s="125"/>
      <c r="FY81" s="125"/>
      <c r="FZ81" s="125"/>
      <c r="GA81" s="125"/>
      <c r="GB81" s="125"/>
      <c r="GC81" s="125"/>
      <c r="GD81" s="125"/>
      <c r="GE81" s="125"/>
      <c r="GF81" s="125"/>
      <c r="GG81" s="125"/>
      <c r="GH81" s="125"/>
      <c r="GI81" s="125"/>
      <c r="GJ81" s="125"/>
      <c r="GK81" s="125"/>
      <c r="GL81" s="125"/>
      <c r="GM81" s="125"/>
      <c r="GN81" s="125"/>
      <c r="GO81" s="125"/>
      <c r="GP81" s="125"/>
      <c r="GQ81" s="125"/>
      <c r="GR81" s="125"/>
      <c r="GS81" s="125"/>
      <c r="GT81" s="125"/>
      <c r="GU81" s="125"/>
      <c r="GV81" s="125"/>
      <c r="GW81" s="125"/>
      <c r="GX81" s="125"/>
      <c r="GY81" s="125"/>
      <c r="GZ81" s="125"/>
      <c r="HA81" s="125"/>
      <c r="HB81" s="125"/>
      <c r="HC81" s="125"/>
      <c r="HD81" s="125"/>
      <c r="HE81" s="125"/>
      <c r="HF81" s="125"/>
      <c r="HG81" s="125"/>
      <c r="HH81" s="125"/>
      <c r="HI81" s="125"/>
      <c r="HJ81" s="125"/>
      <c r="HK81" s="125"/>
      <c r="HL81" s="125"/>
      <c r="HM81" s="125"/>
      <c r="HN81" s="125"/>
      <c r="HO81" s="125"/>
      <c r="HP81" s="125"/>
      <c r="HQ81" s="125"/>
      <c r="HR81" s="125"/>
      <c r="HS81" s="125"/>
      <c r="HT81" s="125"/>
      <c r="HU81" s="125"/>
      <c r="HV81" s="125"/>
      <c r="HW81" s="125"/>
      <c r="HX81" s="125"/>
      <c r="HY81" s="125"/>
      <c r="HZ81" s="125"/>
      <c r="IA81" s="125"/>
      <c r="IB81" s="125"/>
      <c r="IC81" s="125"/>
      <c r="ID81" s="125"/>
      <c r="IE81" s="125"/>
      <c r="IF81" s="125"/>
      <c r="IG81" s="125"/>
      <c r="IH81" s="125"/>
      <c r="II81" s="125"/>
      <c r="IJ81" s="125"/>
      <c r="IK81" s="125"/>
      <c r="IL81" s="125"/>
      <c r="IM81" s="125"/>
      <c r="IN81" s="125"/>
      <c r="IO81" s="125"/>
      <c r="IP81" s="125"/>
      <c r="IQ81" s="125"/>
      <c r="IR81" s="125"/>
      <c r="IS81" s="125"/>
      <c r="IT81" s="125"/>
      <c r="IU81" s="125"/>
      <c r="IV81" s="125"/>
      <c r="IW81" s="125"/>
      <c r="IX81" s="125"/>
      <c r="IY81" s="125"/>
      <c r="IZ81" s="125"/>
      <c r="JA81" s="125"/>
      <c r="JB81" s="125"/>
      <c r="JC81" s="125"/>
      <c r="JD81" s="125"/>
      <c r="JE81" s="125"/>
      <c r="JF81" s="125"/>
      <c r="JG81" s="125"/>
      <c r="JH81" s="125"/>
      <c r="JI81" s="119">
        <f t="shared" si="2"/>
        <v>129664</v>
      </c>
      <c r="JJ81" s="315">
        <v>2155</v>
      </c>
      <c r="JK81" s="125"/>
      <c r="JL81" s="125">
        <f t="shared" si="3"/>
        <v>129664</v>
      </c>
      <c r="JM81" s="1"/>
      <c r="JN81" s="1"/>
      <c r="JO81" s="1"/>
      <c r="JP81" s="1"/>
    </row>
    <row r="82" spans="1:276" x14ac:dyDescent="0.25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5"/>
      <c r="BT82" s="125"/>
      <c r="BU82" s="125"/>
      <c r="BV82" s="125"/>
      <c r="BW82" s="125"/>
      <c r="BX82" s="125"/>
      <c r="BY82" s="125"/>
      <c r="BZ82" s="125"/>
      <c r="CA82" s="125"/>
      <c r="CB82" s="125"/>
      <c r="CC82" s="125"/>
      <c r="CD82" s="125"/>
      <c r="CE82" s="125"/>
      <c r="CF82" s="125"/>
      <c r="CG82" s="125"/>
      <c r="CH82" s="125"/>
      <c r="CI82" s="125"/>
      <c r="CJ82" s="125"/>
      <c r="CK82" s="125"/>
      <c r="CL82" s="125"/>
      <c r="CM82" s="125"/>
      <c r="CN82" s="125"/>
      <c r="CO82" s="125"/>
      <c r="CP82" s="125"/>
      <c r="CQ82" s="125"/>
      <c r="CR82" s="125"/>
      <c r="CS82" s="125"/>
      <c r="CT82" s="125"/>
      <c r="CU82" s="125"/>
      <c r="CV82" s="125"/>
      <c r="CW82" s="125"/>
      <c r="CX82" s="125"/>
      <c r="CY82" s="125"/>
      <c r="CZ82" s="125"/>
      <c r="DA82" s="125"/>
      <c r="DB82" s="125"/>
      <c r="DC82" s="125"/>
      <c r="DD82" s="125"/>
      <c r="DE82" s="125"/>
      <c r="DF82" s="125"/>
      <c r="DG82" s="125"/>
      <c r="DH82" s="125"/>
      <c r="DI82" s="125"/>
      <c r="DJ82" s="125"/>
      <c r="DK82" s="125"/>
      <c r="DL82" s="125"/>
      <c r="DM82" s="125"/>
      <c r="DN82" s="125"/>
      <c r="DO82" s="125"/>
      <c r="DP82" s="125"/>
      <c r="DQ82" s="125"/>
      <c r="DR82" s="125"/>
      <c r="DS82" s="125"/>
      <c r="DT82" s="125"/>
      <c r="DU82" s="125"/>
      <c r="DV82" s="125"/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  <c r="FQ82" s="125"/>
      <c r="FR82" s="125"/>
      <c r="FS82" s="125"/>
      <c r="FT82" s="125">
        <v>55960.32</v>
      </c>
      <c r="FU82" s="125"/>
      <c r="FV82" s="125"/>
      <c r="FW82" s="125"/>
      <c r="FX82" s="125"/>
      <c r="FY82" s="125"/>
      <c r="FZ82" s="125"/>
      <c r="GA82" s="125"/>
      <c r="GB82" s="125"/>
      <c r="GC82" s="125"/>
      <c r="GD82" s="125"/>
      <c r="GE82" s="125"/>
      <c r="GF82" s="125"/>
      <c r="GG82" s="125"/>
      <c r="GH82" s="125"/>
      <c r="GI82" s="125"/>
      <c r="GJ82" s="125"/>
      <c r="GK82" s="125"/>
      <c r="GL82" s="125"/>
      <c r="GM82" s="125"/>
      <c r="GN82" s="125"/>
      <c r="GO82" s="125"/>
      <c r="GP82" s="125"/>
      <c r="GQ82" s="125"/>
      <c r="GR82" s="125"/>
      <c r="GS82" s="125"/>
      <c r="GT82" s="125"/>
      <c r="GU82" s="125"/>
      <c r="GV82" s="125"/>
      <c r="GW82" s="125"/>
      <c r="GX82" s="125"/>
      <c r="GY82" s="125"/>
      <c r="GZ82" s="125"/>
      <c r="HA82" s="125"/>
      <c r="HB82" s="125"/>
      <c r="HC82" s="125"/>
      <c r="HD82" s="125"/>
      <c r="HE82" s="125"/>
      <c r="HF82" s="125"/>
      <c r="HG82" s="125"/>
      <c r="HH82" s="125"/>
      <c r="HI82" s="125"/>
      <c r="HJ82" s="125"/>
      <c r="HK82" s="125"/>
      <c r="HL82" s="125"/>
      <c r="HM82" s="125"/>
      <c r="HN82" s="125"/>
      <c r="HO82" s="125"/>
      <c r="HP82" s="125"/>
      <c r="HQ82" s="125"/>
      <c r="HR82" s="125"/>
      <c r="HS82" s="125"/>
      <c r="HT82" s="125"/>
      <c r="HU82" s="125"/>
      <c r="HV82" s="125"/>
      <c r="HW82" s="125"/>
      <c r="HX82" s="125"/>
      <c r="HY82" s="125"/>
      <c r="HZ82" s="125"/>
      <c r="IA82" s="125"/>
      <c r="IB82" s="125"/>
      <c r="IC82" s="125"/>
      <c r="ID82" s="125"/>
      <c r="IE82" s="125"/>
      <c r="IF82" s="125"/>
      <c r="IG82" s="125"/>
      <c r="IH82" s="125"/>
      <c r="II82" s="125"/>
      <c r="IJ82" s="125"/>
      <c r="IK82" s="125"/>
      <c r="IL82" s="125"/>
      <c r="IM82" s="125"/>
      <c r="IN82" s="125"/>
      <c r="IO82" s="125"/>
      <c r="IP82" s="125"/>
      <c r="IQ82" s="125"/>
      <c r="IR82" s="125"/>
      <c r="IS82" s="125"/>
      <c r="IT82" s="125"/>
      <c r="IU82" s="125"/>
      <c r="IV82" s="125"/>
      <c r="IW82" s="125"/>
      <c r="IX82" s="125"/>
      <c r="IY82" s="125"/>
      <c r="IZ82" s="125"/>
      <c r="JA82" s="125"/>
      <c r="JB82" s="125"/>
      <c r="JC82" s="125"/>
      <c r="JD82" s="125"/>
      <c r="JE82" s="125"/>
      <c r="JF82" s="125"/>
      <c r="JG82" s="125"/>
      <c r="JH82" s="125"/>
      <c r="JI82" s="119">
        <f t="shared" si="2"/>
        <v>55960.32</v>
      </c>
      <c r="JJ82" s="315">
        <v>2159</v>
      </c>
      <c r="JK82" s="125"/>
      <c r="JL82" s="125">
        <f t="shared" si="3"/>
        <v>55960.32</v>
      </c>
      <c r="JM82" s="1"/>
      <c r="JN82" s="1"/>
      <c r="JO82" s="1"/>
      <c r="JP82" s="1"/>
    </row>
    <row r="83" spans="1:276" x14ac:dyDescent="0.25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5"/>
      <c r="BT83" s="125"/>
      <c r="BU83" s="125"/>
      <c r="BV83" s="125"/>
      <c r="BW83" s="125"/>
      <c r="BX83" s="125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5"/>
      <c r="CR83" s="125"/>
      <c r="CS83" s="125"/>
      <c r="CT83" s="125"/>
      <c r="CU83" s="125"/>
      <c r="CV83" s="125"/>
      <c r="CW83" s="125"/>
      <c r="CX83" s="125"/>
      <c r="CY83" s="125"/>
      <c r="CZ83" s="125"/>
      <c r="DA83" s="125"/>
      <c r="DB83" s="125"/>
      <c r="DC83" s="125"/>
      <c r="DD83" s="125"/>
      <c r="DE83" s="125"/>
      <c r="DF83" s="125"/>
      <c r="DG83" s="125"/>
      <c r="DH83" s="125"/>
      <c r="DI83" s="125"/>
      <c r="DJ83" s="125"/>
      <c r="DK83" s="125"/>
      <c r="DL83" s="125"/>
      <c r="DM83" s="125"/>
      <c r="DN83" s="125"/>
      <c r="DO83" s="125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>
        <v>45000</v>
      </c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/>
      <c r="FT83" s="125"/>
      <c r="FU83" s="125"/>
      <c r="FV83" s="125"/>
      <c r="FW83" s="125"/>
      <c r="FX83" s="125"/>
      <c r="FY83" s="125"/>
      <c r="FZ83" s="125"/>
      <c r="GA83" s="125"/>
      <c r="GB83" s="125"/>
      <c r="GC83" s="125"/>
      <c r="GD83" s="125"/>
      <c r="GE83" s="125"/>
      <c r="GF83" s="125"/>
      <c r="GG83" s="125"/>
      <c r="GH83" s="125"/>
      <c r="GI83" s="125"/>
      <c r="GJ83" s="125"/>
      <c r="GK83" s="125"/>
      <c r="GL83" s="125"/>
      <c r="GM83" s="125"/>
      <c r="GN83" s="125"/>
      <c r="GO83" s="125"/>
      <c r="GP83" s="125"/>
      <c r="GQ83" s="125"/>
      <c r="GR83" s="125"/>
      <c r="GS83" s="125"/>
      <c r="GT83" s="125"/>
      <c r="GU83" s="125"/>
      <c r="GV83" s="125"/>
      <c r="GW83" s="125"/>
      <c r="GX83" s="125"/>
      <c r="GY83" s="125"/>
      <c r="GZ83" s="125"/>
      <c r="HA83" s="125"/>
      <c r="HB83" s="125"/>
      <c r="HC83" s="125"/>
      <c r="HD83" s="125"/>
      <c r="HE83" s="125"/>
      <c r="HF83" s="125"/>
      <c r="HG83" s="125"/>
      <c r="HH83" s="125"/>
      <c r="HI83" s="125"/>
      <c r="HJ83" s="125"/>
      <c r="HK83" s="125"/>
      <c r="HL83" s="125"/>
      <c r="HM83" s="125"/>
      <c r="HN83" s="125"/>
      <c r="HO83" s="125"/>
      <c r="HP83" s="125"/>
      <c r="HQ83" s="125"/>
      <c r="HR83" s="125"/>
      <c r="HS83" s="125"/>
      <c r="HT83" s="125"/>
      <c r="HU83" s="125"/>
      <c r="HV83" s="125"/>
      <c r="HW83" s="125"/>
      <c r="HX83" s="125"/>
      <c r="HY83" s="125"/>
      <c r="HZ83" s="125"/>
      <c r="IA83" s="125"/>
      <c r="IB83" s="125"/>
      <c r="IC83" s="125"/>
      <c r="ID83" s="125"/>
      <c r="IE83" s="125"/>
      <c r="IF83" s="125"/>
      <c r="IG83" s="125"/>
      <c r="IH83" s="125"/>
      <c r="II83" s="125"/>
      <c r="IJ83" s="125"/>
      <c r="IK83" s="125"/>
      <c r="IL83" s="125"/>
      <c r="IM83" s="125"/>
      <c r="IN83" s="125"/>
      <c r="IO83" s="125"/>
      <c r="IP83" s="125"/>
      <c r="IQ83" s="125"/>
      <c r="IR83" s="125"/>
      <c r="IS83" s="125"/>
      <c r="IT83" s="125"/>
      <c r="IU83" s="125"/>
      <c r="IV83" s="125"/>
      <c r="IW83" s="125"/>
      <c r="IX83" s="125"/>
      <c r="IY83" s="125"/>
      <c r="IZ83" s="125"/>
      <c r="JA83" s="125"/>
      <c r="JB83" s="125"/>
      <c r="JC83" s="125"/>
      <c r="JD83" s="125"/>
      <c r="JE83" s="125"/>
      <c r="JF83" s="125"/>
      <c r="JG83" s="125"/>
      <c r="JH83" s="125"/>
      <c r="JI83" s="119">
        <f t="shared" si="2"/>
        <v>45000</v>
      </c>
      <c r="JJ83" s="315">
        <v>2163</v>
      </c>
      <c r="JK83" s="125"/>
      <c r="JL83" s="125">
        <f t="shared" si="3"/>
        <v>45000</v>
      </c>
      <c r="JM83" s="1"/>
      <c r="JN83" s="1"/>
      <c r="JO83" s="1"/>
      <c r="JP83" s="1"/>
    </row>
    <row r="84" spans="1:276" x14ac:dyDescent="0.25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5"/>
      <c r="BT84" s="125"/>
      <c r="BU84" s="125"/>
      <c r="BV84" s="125"/>
      <c r="BW84" s="125"/>
      <c r="BX84" s="125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5"/>
      <c r="CR84" s="125"/>
      <c r="CS84" s="125"/>
      <c r="CT84" s="125"/>
      <c r="CU84" s="125"/>
      <c r="CV84" s="125"/>
      <c r="CW84" s="125"/>
      <c r="CX84" s="125"/>
      <c r="CY84" s="125"/>
      <c r="CZ84" s="125"/>
      <c r="DA84" s="125"/>
      <c r="DB84" s="125"/>
      <c r="DC84" s="125"/>
      <c r="DD84" s="125"/>
      <c r="DE84" s="125"/>
      <c r="DF84" s="125"/>
      <c r="DG84" s="125"/>
      <c r="DH84" s="125"/>
      <c r="DI84" s="125"/>
      <c r="DJ84" s="125"/>
      <c r="DK84" s="125"/>
      <c r="DL84" s="125"/>
      <c r="DM84" s="125"/>
      <c r="DN84" s="125"/>
      <c r="DO84" s="125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25">
        <v>6289.04</v>
      </c>
      <c r="FU84" s="125"/>
      <c r="FV84" s="125"/>
      <c r="FW84" s="125"/>
      <c r="FX84" s="125"/>
      <c r="FY84" s="125"/>
      <c r="FZ84" s="125"/>
      <c r="GA84" s="125"/>
      <c r="GB84" s="125"/>
      <c r="GC84" s="125"/>
      <c r="GD84" s="125"/>
      <c r="GE84" s="125"/>
      <c r="GF84" s="125"/>
      <c r="GG84" s="125"/>
      <c r="GH84" s="125"/>
      <c r="GI84" s="125"/>
      <c r="GJ84" s="125"/>
      <c r="GK84" s="125"/>
      <c r="GL84" s="125"/>
      <c r="GM84" s="125"/>
      <c r="GN84" s="125"/>
      <c r="GO84" s="125"/>
      <c r="GP84" s="125"/>
      <c r="GQ84" s="125"/>
      <c r="GR84" s="125"/>
      <c r="GS84" s="125"/>
      <c r="GT84" s="125"/>
      <c r="GU84" s="125"/>
      <c r="GV84" s="125"/>
      <c r="GW84" s="125"/>
      <c r="GX84" s="125"/>
      <c r="GY84" s="125"/>
      <c r="GZ84" s="125"/>
      <c r="HA84" s="125"/>
      <c r="HB84" s="125"/>
      <c r="HC84" s="125"/>
      <c r="HD84" s="125"/>
      <c r="HE84" s="125"/>
      <c r="HF84" s="125"/>
      <c r="HG84" s="125"/>
      <c r="HH84" s="125"/>
      <c r="HI84" s="125"/>
      <c r="HJ84" s="125"/>
      <c r="HK84" s="125"/>
      <c r="HL84" s="125"/>
      <c r="HM84" s="125"/>
      <c r="HN84" s="125"/>
      <c r="HO84" s="125"/>
      <c r="HP84" s="125"/>
      <c r="HQ84" s="125"/>
      <c r="HR84" s="125"/>
      <c r="HS84" s="125"/>
      <c r="HT84" s="125"/>
      <c r="HU84" s="125"/>
      <c r="HV84" s="125"/>
      <c r="HW84" s="125"/>
      <c r="HX84" s="125"/>
      <c r="HY84" s="125"/>
      <c r="HZ84" s="125"/>
      <c r="IA84" s="125"/>
      <c r="IB84" s="125"/>
      <c r="IC84" s="125"/>
      <c r="ID84" s="125"/>
      <c r="IE84" s="125"/>
      <c r="IF84" s="125"/>
      <c r="IG84" s="125"/>
      <c r="IH84" s="125"/>
      <c r="II84" s="125"/>
      <c r="IJ84" s="125"/>
      <c r="IK84" s="125"/>
      <c r="IL84" s="125"/>
      <c r="IM84" s="125"/>
      <c r="IN84" s="125"/>
      <c r="IO84" s="125"/>
      <c r="IP84" s="125"/>
      <c r="IQ84" s="125"/>
      <c r="IR84" s="125"/>
      <c r="IS84" s="125"/>
      <c r="IT84" s="125"/>
      <c r="IU84" s="125"/>
      <c r="IV84" s="125"/>
      <c r="IW84" s="125"/>
      <c r="IX84" s="125"/>
      <c r="IY84" s="125"/>
      <c r="IZ84" s="125"/>
      <c r="JA84" s="125"/>
      <c r="JB84" s="125"/>
      <c r="JC84" s="125"/>
      <c r="JD84" s="125"/>
      <c r="JE84" s="125"/>
      <c r="JF84" s="125"/>
      <c r="JG84" s="125"/>
      <c r="JH84" s="125"/>
      <c r="JI84" s="119">
        <f t="shared" si="2"/>
        <v>6289.04</v>
      </c>
      <c r="JJ84" s="315">
        <v>2167</v>
      </c>
      <c r="JK84" s="125"/>
      <c r="JL84" s="125">
        <f t="shared" si="3"/>
        <v>6289.04</v>
      </c>
      <c r="JM84" s="1"/>
      <c r="JN84" s="1"/>
      <c r="JO84" s="1"/>
      <c r="JP84" s="1"/>
    </row>
    <row r="85" spans="1:276" x14ac:dyDescent="0.2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5"/>
      <c r="BT85" s="125"/>
      <c r="BU85" s="125"/>
      <c r="BV85" s="125"/>
      <c r="BW85" s="125"/>
      <c r="BX85" s="125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5"/>
      <c r="CR85" s="125"/>
      <c r="CS85" s="125"/>
      <c r="CT85" s="125"/>
      <c r="CU85" s="125"/>
      <c r="CV85" s="125"/>
      <c r="CW85" s="125"/>
      <c r="CX85" s="125"/>
      <c r="CY85" s="125"/>
      <c r="CZ85" s="125"/>
      <c r="DA85" s="125"/>
      <c r="DB85" s="125"/>
      <c r="DC85" s="125"/>
      <c r="DD85" s="125"/>
      <c r="DE85" s="125"/>
      <c r="DF85" s="125"/>
      <c r="DG85" s="125"/>
      <c r="DH85" s="125"/>
      <c r="DI85" s="125"/>
      <c r="DJ85" s="125"/>
      <c r="DK85" s="125"/>
      <c r="DL85" s="125"/>
      <c r="DM85" s="125"/>
      <c r="DN85" s="125"/>
      <c r="DO85" s="125"/>
      <c r="DP85" s="125"/>
      <c r="DQ85" s="125"/>
      <c r="DR85" s="125"/>
      <c r="DS85" s="125"/>
      <c r="DT85" s="125"/>
      <c r="DU85" s="125"/>
      <c r="DV85" s="125"/>
      <c r="DW85" s="125"/>
      <c r="DX85" s="125"/>
      <c r="DY85" s="125"/>
      <c r="DZ85" s="125"/>
      <c r="EA85" s="125"/>
      <c r="EB85" s="125"/>
      <c r="EC85" s="125"/>
      <c r="ED85" s="125"/>
      <c r="EE85" s="125"/>
      <c r="EF85" s="125"/>
      <c r="EG85" s="125"/>
      <c r="EH85" s="125"/>
      <c r="EI85" s="125"/>
      <c r="EJ85" s="125"/>
      <c r="EK85" s="125"/>
      <c r="EL85" s="125"/>
      <c r="EM85" s="125"/>
      <c r="EN85" s="125"/>
      <c r="EO85" s="125"/>
      <c r="EP85" s="125"/>
      <c r="EQ85" s="125"/>
      <c r="ER85" s="125"/>
      <c r="ES85" s="125"/>
      <c r="ET85" s="125"/>
      <c r="EU85" s="125"/>
      <c r="EV85" s="125"/>
      <c r="EW85" s="125"/>
      <c r="EX85" s="125"/>
      <c r="EY85" s="125"/>
      <c r="EZ85" s="125"/>
      <c r="FA85" s="125"/>
      <c r="FB85" s="125"/>
      <c r="FC85" s="125"/>
      <c r="FD85" s="125"/>
      <c r="FE85" s="125"/>
      <c r="FF85" s="125"/>
      <c r="FG85" s="125"/>
      <c r="FH85" s="125"/>
      <c r="FI85" s="125"/>
      <c r="FJ85" s="125"/>
      <c r="FK85" s="125"/>
      <c r="FL85" s="125"/>
      <c r="FM85" s="125">
        <v>183031.16</v>
      </c>
      <c r="FN85" s="125"/>
      <c r="FO85" s="125"/>
      <c r="FP85" s="125"/>
      <c r="FQ85" s="125"/>
      <c r="FR85" s="125"/>
      <c r="FS85" s="125"/>
      <c r="FT85" s="125"/>
      <c r="FU85" s="125"/>
      <c r="FV85" s="125"/>
      <c r="FW85" s="125"/>
      <c r="FX85" s="125"/>
      <c r="FY85" s="125"/>
      <c r="FZ85" s="125"/>
      <c r="GA85" s="125"/>
      <c r="GB85" s="125">
        <v>2562.4899999999998</v>
      </c>
      <c r="GC85" s="125"/>
      <c r="GD85" s="125"/>
      <c r="GE85" s="125"/>
      <c r="GF85" s="125"/>
      <c r="GG85" s="125"/>
      <c r="GH85" s="125"/>
      <c r="GI85" s="125"/>
      <c r="GJ85" s="125"/>
      <c r="GK85" s="125"/>
      <c r="GL85" s="125"/>
      <c r="GM85" s="125"/>
      <c r="GN85" s="125"/>
      <c r="GO85" s="125"/>
      <c r="GP85" s="125"/>
      <c r="GQ85" s="125"/>
      <c r="GR85" s="125"/>
      <c r="GS85" s="125"/>
      <c r="GT85" s="125"/>
      <c r="GU85" s="125"/>
      <c r="GV85" s="125"/>
      <c r="GW85" s="125"/>
      <c r="GX85" s="125"/>
      <c r="GY85" s="125"/>
      <c r="GZ85" s="125"/>
      <c r="HA85" s="125"/>
      <c r="HB85" s="125"/>
      <c r="HC85" s="125"/>
      <c r="HD85" s="125"/>
      <c r="HE85" s="125"/>
      <c r="HF85" s="125"/>
      <c r="HG85" s="125"/>
      <c r="HH85" s="125"/>
      <c r="HI85" s="125"/>
      <c r="HJ85" s="125"/>
      <c r="HK85" s="125"/>
      <c r="HL85" s="125"/>
      <c r="HM85" s="125"/>
      <c r="HN85" s="125"/>
      <c r="HO85" s="125"/>
      <c r="HP85" s="125"/>
      <c r="HQ85" s="125"/>
      <c r="HR85" s="125"/>
      <c r="HS85" s="125"/>
      <c r="HT85" s="125"/>
      <c r="HU85" s="125"/>
      <c r="HV85" s="125"/>
      <c r="HW85" s="125"/>
      <c r="HX85" s="125"/>
      <c r="HY85" s="125"/>
      <c r="HZ85" s="125"/>
      <c r="IA85" s="125"/>
      <c r="IB85" s="125"/>
      <c r="IC85" s="125"/>
      <c r="ID85" s="125"/>
      <c r="IE85" s="125"/>
      <c r="IF85" s="125"/>
      <c r="IG85" s="125"/>
      <c r="IH85" s="125"/>
      <c r="II85" s="125"/>
      <c r="IJ85" s="125"/>
      <c r="IK85" s="125"/>
      <c r="IL85" s="125"/>
      <c r="IM85" s="125"/>
      <c r="IN85" s="125"/>
      <c r="IO85" s="125"/>
      <c r="IP85" s="125"/>
      <c r="IQ85" s="125"/>
      <c r="IR85" s="125"/>
      <c r="IS85" s="125"/>
      <c r="IT85" s="125"/>
      <c r="IU85" s="125"/>
      <c r="IV85" s="125"/>
      <c r="IW85" s="125"/>
      <c r="IX85" s="125"/>
      <c r="IY85" s="125"/>
      <c r="IZ85" s="125"/>
      <c r="JA85" s="125"/>
      <c r="JB85" s="125"/>
      <c r="JC85" s="125"/>
      <c r="JD85" s="125"/>
      <c r="JE85" s="125"/>
      <c r="JF85" s="125"/>
      <c r="JG85" s="125"/>
      <c r="JH85" s="125"/>
      <c r="JI85" s="119">
        <f t="shared" si="2"/>
        <v>185593.65</v>
      </c>
      <c r="JJ85" s="315">
        <v>2171</v>
      </c>
      <c r="JK85" s="125"/>
      <c r="JL85" s="125">
        <f t="shared" si="3"/>
        <v>185593.65</v>
      </c>
      <c r="JM85" s="1"/>
      <c r="JN85" s="1"/>
      <c r="JO85" s="1"/>
      <c r="JP85" s="1"/>
    </row>
    <row r="86" spans="1:276" x14ac:dyDescent="0.25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  <c r="BM86" s="125"/>
      <c r="BN86" s="125"/>
      <c r="BO86" s="125"/>
      <c r="BP86" s="125"/>
      <c r="BQ86" s="125"/>
      <c r="BR86" s="125"/>
      <c r="BS86" s="125"/>
      <c r="BT86" s="125"/>
      <c r="BU86" s="125"/>
      <c r="BV86" s="125"/>
      <c r="BW86" s="125"/>
      <c r="BX86" s="125"/>
      <c r="BY86" s="125"/>
      <c r="BZ86" s="125"/>
      <c r="CA86" s="125"/>
      <c r="CB86" s="125"/>
      <c r="CC86" s="125"/>
      <c r="CD86" s="125"/>
      <c r="CE86" s="125"/>
      <c r="CF86" s="125"/>
      <c r="CG86" s="125"/>
      <c r="CH86" s="125"/>
      <c r="CI86" s="125"/>
      <c r="CJ86" s="125"/>
      <c r="CK86" s="125"/>
      <c r="CL86" s="125"/>
      <c r="CM86" s="125"/>
      <c r="CN86" s="125"/>
      <c r="CO86" s="125"/>
      <c r="CP86" s="125"/>
      <c r="CQ86" s="125"/>
      <c r="CR86" s="125"/>
      <c r="CS86" s="125"/>
      <c r="CT86" s="125"/>
      <c r="CU86" s="125"/>
      <c r="CV86" s="125"/>
      <c r="CW86" s="125"/>
      <c r="CX86" s="125"/>
      <c r="CY86" s="125"/>
      <c r="CZ86" s="125"/>
      <c r="DA86" s="125"/>
      <c r="DB86" s="125"/>
      <c r="DC86" s="125"/>
      <c r="DD86" s="125"/>
      <c r="DE86" s="125"/>
      <c r="DF86" s="125"/>
      <c r="DG86" s="125"/>
      <c r="DH86" s="125"/>
      <c r="DI86" s="125"/>
      <c r="DJ86" s="125"/>
      <c r="DK86" s="125"/>
      <c r="DL86" s="125"/>
      <c r="DM86" s="125"/>
      <c r="DN86" s="125"/>
      <c r="DO86" s="125"/>
      <c r="DP86" s="125"/>
      <c r="DQ86" s="125"/>
      <c r="DR86" s="125"/>
      <c r="DS86" s="125"/>
      <c r="DT86" s="125"/>
      <c r="DU86" s="125"/>
      <c r="DV86" s="125"/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>
        <v>163902</v>
      </c>
      <c r="FU86" s="125"/>
      <c r="FV86" s="125"/>
      <c r="FW86" s="125"/>
      <c r="FX86" s="125"/>
      <c r="FY86" s="125"/>
      <c r="FZ86" s="125"/>
      <c r="GA86" s="125"/>
      <c r="GB86" s="125"/>
      <c r="GC86" s="125"/>
      <c r="GD86" s="125"/>
      <c r="GE86" s="125"/>
      <c r="GF86" s="125"/>
      <c r="GG86" s="125"/>
      <c r="GH86" s="125"/>
      <c r="GI86" s="125"/>
      <c r="GJ86" s="125"/>
      <c r="GK86" s="125"/>
      <c r="GL86" s="125"/>
      <c r="GM86" s="125"/>
      <c r="GN86" s="125"/>
      <c r="GO86" s="125"/>
      <c r="GP86" s="125"/>
      <c r="GQ86" s="125"/>
      <c r="GR86" s="125"/>
      <c r="GS86" s="125"/>
      <c r="GT86" s="125"/>
      <c r="GU86" s="125"/>
      <c r="GV86" s="125"/>
      <c r="GW86" s="125"/>
      <c r="GX86" s="125"/>
      <c r="GY86" s="125"/>
      <c r="GZ86" s="125"/>
      <c r="HA86" s="125"/>
      <c r="HB86" s="125"/>
      <c r="HC86" s="125"/>
      <c r="HD86" s="125"/>
      <c r="HE86" s="125"/>
      <c r="HF86" s="125"/>
      <c r="HG86" s="125"/>
      <c r="HH86" s="125"/>
      <c r="HI86" s="125"/>
      <c r="HJ86" s="125"/>
      <c r="HK86" s="125"/>
      <c r="HL86" s="125"/>
      <c r="HM86" s="125"/>
      <c r="HN86" s="125"/>
      <c r="HO86" s="125"/>
      <c r="HP86" s="125"/>
      <c r="HQ86" s="125"/>
      <c r="HR86" s="125"/>
      <c r="HS86" s="125"/>
      <c r="HT86" s="125"/>
      <c r="HU86" s="125"/>
      <c r="HV86" s="125"/>
      <c r="HW86" s="125"/>
      <c r="HX86" s="125"/>
      <c r="HY86" s="125"/>
      <c r="HZ86" s="125"/>
      <c r="IA86" s="125"/>
      <c r="IB86" s="125"/>
      <c r="IC86" s="125"/>
      <c r="ID86" s="125"/>
      <c r="IE86" s="125"/>
      <c r="IF86" s="125"/>
      <c r="IG86" s="125"/>
      <c r="IH86" s="125"/>
      <c r="II86" s="125"/>
      <c r="IJ86" s="125"/>
      <c r="IK86" s="125"/>
      <c r="IL86" s="125"/>
      <c r="IM86" s="125"/>
      <c r="IN86" s="125"/>
      <c r="IO86" s="125"/>
      <c r="IP86" s="125"/>
      <c r="IQ86" s="125"/>
      <c r="IR86" s="125"/>
      <c r="IS86" s="125"/>
      <c r="IT86" s="125"/>
      <c r="IU86" s="125"/>
      <c r="IV86" s="125"/>
      <c r="IW86" s="125"/>
      <c r="IX86" s="125"/>
      <c r="IY86" s="125"/>
      <c r="IZ86" s="125"/>
      <c r="JA86" s="125"/>
      <c r="JB86" s="125"/>
      <c r="JC86" s="125"/>
      <c r="JD86" s="125"/>
      <c r="JE86" s="125"/>
      <c r="JF86" s="125"/>
      <c r="JG86" s="125"/>
      <c r="JH86" s="125"/>
      <c r="JI86" s="119">
        <f t="shared" si="2"/>
        <v>163902</v>
      </c>
      <c r="JJ86" s="315">
        <v>2175</v>
      </c>
      <c r="JK86" s="125"/>
      <c r="JL86" s="125">
        <f t="shared" si="3"/>
        <v>163902</v>
      </c>
      <c r="JM86" s="1"/>
      <c r="JN86" s="1"/>
      <c r="JO86" s="1"/>
      <c r="JP86" s="1"/>
    </row>
    <row r="87" spans="1:276" x14ac:dyDescent="0.25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25"/>
      <c r="BQ87" s="125"/>
      <c r="BR87" s="125"/>
      <c r="BS87" s="125"/>
      <c r="BT87" s="125"/>
      <c r="BU87" s="125"/>
      <c r="BV87" s="125"/>
      <c r="BW87" s="125"/>
      <c r="BX87" s="125"/>
      <c r="BY87" s="125"/>
      <c r="BZ87" s="125"/>
      <c r="CA87" s="125"/>
      <c r="CB87" s="125"/>
      <c r="CC87" s="125"/>
      <c r="CD87" s="125"/>
      <c r="CE87" s="125"/>
      <c r="CF87" s="125"/>
      <c r="CG87" s="125"/>
      <c r="CH87" s="125"/>
      <c r="CI87" s="125"/>
      <c r="CJ87" s="125"/>
      <c r="CK87" s="125"/>
      <c r="CL87" s="125"/>
      <c r="CM87" s="125"/>
      <c r="CN87" s="125"/>
      <c r="CO87" s="125"/>
      <c r="CP87" s="125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  <c r="DG87" s="125"/>
      <c r="DH87" s="125"/>
      <c r="DI87" s="125"/>
      <c r="DJ87" s="125"/>
      <c r="DK87" s="125"/>
      <c r="DL87" s="125"/>
      <c r="DM87" s="125"/>
      <c r="DN87" s="125"/>
      <c r="DO87" s="125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>
        <v>7680</v>
      </c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>
        <v>206579.64</v>
      </c>
      <c r="FU87" s="125"/>
      <c r="FV87" s="125"/>
      <c r="FW87" s="125"/>
      <c r="FX87" s="125"/>
      <c r="FY87" s="125"/>
      <c r="FZ87" s="125"/>
      <c r="GA87" s="125"/>
      <c r="GB87" s="125"/>
      <c r="GC87" s="125"/>
      <c r="GD87" s="125"/>
      <c r="GE87" s="125"/>
      <c r="GF87" s="125"/>
      <c r="GG87" s="125"/>
      <c r="GH87" s="125"/>
      <c r="GI87" s="125"/>
      <c r="GJ87" s="125"/>
      <c r="GK87" s="125"/>
      <c r="GL87" s="125"/>
      <c r="GM87" s="125"/>
      <c r="GN87" s="125"/>
      <c r="GO87" s="125"/>
      <c r="GP87" s="125"/>
      <c r="GQ87" s="125"/>
      <c r="GR87" s="125"/>
      <c r="GS87" s="125"/>
      <c r="GT87" s="125"/>
      <c r="GU87" s="125"/>
      <c r="GV87" s="125"/>
      <c r="GW87" s="125"/>
      <c r="GX87" s="125"/>
      <c r="GY87" s="125"/>
      <c r="GZ87" s="125"/>
      <c r="HA87" s="125"/>
      <c r="HB87" s="125"/>
      <c r="HC87" s="125"/>
      <c r="HD87" s="125"/>
      <c r="HE87" s="125"/>
      <c r="HF87" s="125"/>
      <c r="HG87" s="125"/>
      <c r="HH87" s="125"/>
      <c r="HI87" s="125"/>
      <c r="HJ87" s="125"/>
      <c r="HK87" s="125"/>
      <c r="HL87" s="125"/>
      <c r="HM87" s="125"/>
      <c r="HN87" s="125"/>
      <c r="HO87" s="125"/>
      <c r="HP87" s="125"/>
      <c r="HQ87" s="125"/>
      <c r="HR87" s="125"/>
      <c r="HS87" s="125"/>
      <c r="HT87" s="125"/>
      <c r="HU87" s="125"/>
      <c r="HV87" s="125"/>
      <c r="HW87" s="125"/>
      <c r="HX87" s="125"/>
      <c r="HY87" s="125"/>
      <c r="HZ87" s="125"/>
      <c r="IA87" s="125"/>
      <c r="IB87" s="125"/>
      <c r="IC87" s="125"/>
      <c r="ID87" s="125"/>
      <c r="IE87" s="125"/>
      <c r="IF87" s="125"/>
      <c r="IG87" s="125"/>
      <c r="IH87" s="125"/>
      <c r="II87" s="125"/>
      <c r="IJ87" s="125"/>
      <c r="IK87" s="125"/>
      <c r="IL87" s="125"/>
      <c r="IM87" s="125"/>
      <c r="IN87" s="125"/>
      <c r="IO87" s="125"/>
      <c r="IP87" s="125"/>
      <c r="IQ87" s="125"/>
      <c r="IR87" s="125"/>
      <c r="IS87" s="125"/>
      <c r="IT87" s="125"/>
      <c r="IU87" s="125"/>
      <c r="IV87" s="125"/>
      <c r="IW87" s="125"/>
      <c r="IX87" s="125"/>
      <c r="IY87" s="125"/>
      <c r="IZ87" s="125"/>
      <c r="JA87" s="125"/>
      <c r="JB87" s="125"/>
      <c r="JC87" s="125"/>
      <c r="JD87" s="125"/>
      <c r="JE87" s="125"/>
      <c r="JF87" s="125"/>
      <c r="JG87" s="125"/>
      <c r="JH87" s="125"/>
      <c r="JI87" s="119">
        <f t="shared" si="2"/>
        <v>214259.64</v>
      </c>
      <c r="JJ87" s="315">
        <v>2179</v>
      </c>
      <c r="JK87" s="125"/>
      <c r="JL87" s="125">
        <f t="shared" si="3"/>
        <v>214259.64</v>
      </c>
      <c r="JM87" s="1"/>
      <c r="JN87" s="1"/>
      <c r="JO87" s="1"/>
      <c r="JP87" s="1"/>
    </row>
    <row r="88" spans="1:276" x14ac:dyDescent="0.25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25"/>
      <c r="BQ88" s="125"/>
      <c r="BR88" s="125"/>
      <c r="BS88" s="125"/>
      <c r="BT88" s="125"/>
      <c r="BU88" s="125"/>
      <c r="BV88" s="125"/>
      <c r="BW88" s="125"/>
      <c r="BX88" s="125"/>
      <c r="BY88" s="125"/>
      <c r="BZ88" s="125"/>
      <c r="CA88" s="125"/>
      <c r="CB88" s="125"/>
      <c r="CC88" s="125"/>
      <c r="CD88" s="125"/>
      <c r="CE88" s="125"/>
      <c r="CF88" s="125"/>
      <c r="CG88" s="125"/>
      <c r="CH88" s="125"/>
      <c r="CI88" s="125"/>
      <c r="CJ88" s="125"/>
      <c r="CK88" s="125"/>
      <c r="CL88" s="125"/>
      <c r="CM88" s="125"/>
      <c r="CN88" s="125"/>
      <c r="CO88" s="125"/>
      <c r="CP88" s="125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  <c r="DE88" s="125"/>
      <c r="DF88" s="125"/>
      <c r="DG88" s="125"/>
      <c r="DH88" s="125"/>
      <c r="DI88" s="125"/>
      <c r="DJ88" s="125"/>
      <c r="DK88" s="125"/>
      <c r="DL88" s="125"/>
      <c r="DM88" s="125"/>
      <c r="DN88" s="125"/>
      <c r="DO88" s="125"/>
      <c r="DP88" s="125"/>
      <c r="DQ88" s="125"/>
      <c r="DR88" s="125"/>
      <c r="DS88" s="125"/>
      <c r="DT88" s="125"/>
      <c r="DU88" s="125"/>
      <c r="DV88" s="125"/>
      <c r="DW88" s="125"/>
      <c r="DX88" s="125"/>
      <c r="DY88" s="125"/>
      <c r="DZ88" s="125"/>
      <c r="EA88" s="125"/>
      <c r="EB88" s="125"/>
      <c r="EC88" s="125"/>
      <c r="ED88" s="125"/>
      <c r="EE88" s="125"/>
      <c r="EF88" s="125"/>
      <c r="EG88" s="125"/>
      <c r="EH88" s="125"/>
      <c r="EI88" s="125"/>
      <c r="EJ88" s="125"/>
      <c r="EK88" s="125"/>
      <c r="EL88" s="125"/>
      <c r="EM88" s="125"/>
      <c r="EN88" s="125"/>
      <c r="EO88" s="125"/>
      <c r="EP88" s="125"/>
      <c r="EQ88" s="125"/>
      <c r="ER88" s="125"/>
      <c r="ES88" s="125"/>
      <c r="ET88" s="125"/>
      <c r="EU88" s="125"/>
      <c r="EV88" s="125"/>
      <c r="EW88" s="125"/>
      <c r="EX88" s="125"/>
      <c r="EY88" s="125"/>
      <c r="EZ88" s="125"/>
      <c r="FA88" s="125"/>
      <c r="FB88" s="125"/>
      <c r="FC88" s="125"/>
      <c r="FD88" s="125"/>
      <c r="FE88" s="125"/>
      <c r="FF88" s="125"/>
      <c r="FG88" s="125"/>
      <c r="FH88" s="125"/>
      <c r="FI88" s="125"/>
      <c r="FJ88" s="125"/>
      <c r="FK88" s="125"/>
      <c r="FL88" s="125"/>
      <c r="FM88" s="125"/>
      <c r="FN88" s="125"/>
      <c r="FO88" s="125"/>
      <c r="FP88" s="125"/>
      <c r="FQ88" s="125"/>
      <c r="FR88" s="125"/>
      <c r="FS88" s="125"/>
      <c r="FT88" s="125"/>
      <c r="FU88" s="125"/>
      <c r="FV88" s="125"/>
      <c r="FW88" s="125"/>
      <c r="FX88" s="125"/>
      <c r="FY88" s="125"/>
      <c r="FZ88" s="125"/>
      <c r="GA88" s="125"/>
      <c r="GB88" s="125"/>
      <c r="GC88" s="125"/>
      <c r="GD88" s="125"/>
      <c r="GE88" s="125"/>
      <c r="GF88" s="125"/>
      <c r="GG88" s="125"/>
      <c r="GH88" s="125"/>
      <c r="GI88" s="125"/>
      <c r="GJ88" s="125"/>
      <c r="GK88" s="125"/>
      <c r="GL88" s="125"/>
      <c r="GM88" s="125"/>
      <c r="GN88" s="125"/>
      <c r="GO88" s="125"/>
      <c r="GP88" s="125"/>
      <c r="GQ88" s="125"/>
      <c r="GR88" s="125"/>
      <c r="GS88" s="125"/>
      <c r="GT88" s="125"/>
      <c r="GU88" s="125"/>
      <c r="GV88" s="125"/>
      <c r="GW88" s="125"/>
      <c r="GX88" s="125"/>
      <c r="GY88" s="125"/>
      <c r="GZ88" s="125"/>
      <c r="HA88" s="125"/>
      <c r="HB88" s="125"/>
      <c r="HC88" s="125"/>
      <c r="HD88" s="125"/>
      <c r="HE88" s="125"/>
      <c r="HF88" s="125"/>
      <c r="HG88" s="125"/>
      <c r="HH88" s="125"/>
      <c r="HI88" s="125"/>
      <c r="HJ88" s="125"/>
      <c r="HK88" s="125"/>
      <c r="HL88" s="125"/>
      <c r="HM88" s="125"/>
      <c r="HN88" s="125"/>
      <c r="HO88" s="125"/>
      <c r="HP88" s="125"/>
      <c r="HQ88" s="125"/>
      <c r="HR88" s="125"/>
      <c r="HS88" s="125"/>
      <c r="HT88" s="125"/>
      <c r="HU88" s="125"/>
      <c r="HV88" s="125"/>
      <c r="HW88" s="125"/>
      <c r="HX88" s="125"/>
      <c r="HY88" s="125"/>
      <c r="HZ88" s="125"/>
      <c r="IA88" s="125"/>
      <c r="IB88" s="125"/>
      <c r="IC88" s="125"/>
      <c r="ID88" s="125"/>
      <c r="IE88" s="125"/>
      <c r="IF88" s="125"/>
      <c r="IG88" s="125"/>
      <c r="IH88" s="125"/>
      <c r="II88" s="125"/>
      <c r="IJ88" s="125"/>
      <c r="IK88" s="125"/>
      <c r="IL88" s="125"/>
      <c r="IM88" s="125"/>
      <c r="IN88" s="125"/>
      <c r="IO88" s="125"/>
      <c r="IP88" s="125"/>
      <c r="IQ88" s="125"/>
      <c r="IR88" s="125"/>
      <c r="IS88" s="125"/>
      <c r="IT88" s="125"/>
      <c r="IU88" s="125"/>
      <c r="IV88" s="125"/>
      <c r="IW88" s="125"/>
      <c r="IX88" s="125"/>
      <c r="IY88" s="125"/>
      <c r="IZ88" s="125"/>
      <c r="JA88" s="125"/>
      <c r="JB88" s="125"/>
      <c r="JC88" s="125"/>
      <c r="JD88" s="125"/>
      <c r="JE88" s="125"/>
      <c r="JF88" s="125"/>
      <c r="JG88" s="125"/>
      <c r="JH88" s="125"/>
      <c r="JI88" s="119">
        <f t="shared" si="2"/>
        <v>0</v>
      </c>
      <c r="JJ88" s="315"/>
      <c r="JK88" s="125"/>
      <c r="JL88" s="125">
        <f t="shared" si="3"/>
        <v>0</v>
      </c>
      <c r="JM88" s="1"/>
      <c r="JN88" s="1"/>
      <c r="JO88" s="1"/>
      <c r="JP88" s="1"/>
    </row>
    <row r="89" spans="1:276" x14ac:dyDescent="0.25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  <c r="BM89" s="125"/>
      <c r="BN89" s="125"/>
      <c r="BO89" s="125"/>
      <c r="BP89" s="125"/>
      <c r="BQ89" s="125"/>
      <c r="BR89" s="125"/>
      <c r="BS89" s="125"/>
      <c r="BT89" s="125"/>
      <c r="BU89" s="125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5"/>
      <c r="CZ89" s="125"/>
      <c r="DA89" s="125"/>
      <c r="DB89" s="125"/>
      <c r="DC89" s="125"/>
      <c r="DD89" s="125"/>
      <c r="DE89" s="125"/>
      <c r="DF89" s="125"/>
      <c r="DG89" s="125"/>
      <c r="DH89" s="125"/>
      <c r="DI89" s="125"/>
      <c r="DJ89" s="125"/>
      <c r="DK89" s="125"/>
      <c r="DL89" s="125"/>
      <c r="DM89" s="125"/>
      <c r="DN89" s="125"/>
      <c r="DO89" s="125"/>
      <c r="DP89" s="125"/>
      <c r="DQ89" s="125"/>
      <c r="DR89" s="125"/>
      <c r="DS89" s="125"/>
      <c r="DT89" s="125"/>
      <c r="DU89" s="125"/>
      <c r="DV89" s="125"/>
      <c r="DW89" s="125"/>
      <c r="DX89" s="125"/>
      <c r="DY89" s="125"/>
      <c r="DZ89" s="125"/>
      <c r="EA89" s="125"/>
      <c r="EB89" s="125"/>
      <c r="EC89" s="125"/>
      <c r="ED89" s="125"/>
      <c r="EE89" s="125"/>
      <c r="EF89" s="125"/>
      <c r="EG89" s="125"/>
      <c r="EH89" s="125"/>
      <c r="EI89" s="125"/>
      <c r="EJ89" s="125"/>
      <c r="EK89" s="125"/>
      <c r="EL89" s="125"/>
      <c r="EM89" s="125"/>
      <c r="EN89" s="125"/>
      <c r="EO89" s="125"/>
      <c r="EP89" s="125"/>
      <c r="EQ89" s="125"/>
      <c r="ER89" s="125"/>
      <c r="ES89" s="125"/>
      <c r="ET89" s="125"/>
      <c r="EU89" s="125"/>
      <c r="EV89" s="125"/>
      <c r="EW89" s="125"/>
      <c r="EX89" s="125"/>
      <c r="EY89" s="125"/>
      <c r="EZ89" s="125"/>
      <c r="FA89" s="125"/>
      <c r="FB89" s="125"/>
      <c r="FC89" s="125"/>
      <c r="FD89" s="125"/>
      <c r="FE89" s="125"/>
      <c r="FF89" s="125"/>
      <c r="FG89" s="125"/>
      <c r="FH89" s="125"/>
      <c r="FI89" s="125"/>
      <c r="FJ89" s="125"/>
      <c r="FK89" s="125"/>
      <c r="FL89" s="125"/>
      <c r="FM89" s="125"/>
      <c r="FN89" s="125"/>
      <c r="FO89" s="125"/>
      <c r="FP89" s="125"/>
      <c r="FQ89" s="125"/>
      <c r="FR89" s="125"/>
      <c r="FS89" s="125"/>
      <c r="FT89" s="125"/>
      <c r="FU89" s="125"/>
      <c r="FV89" s="125"/>
      <c r="FW89" s="125"/>
      <c r="FX89" s="125"/>
      <c r="FY89" s="125"/>
      <c r="FZ89" s="125"/>
      <c r="GA89" s="125"/>
      <c r="GB89" s="125"/>
      <c r="GC89" s="125"/>
      <c r="GD89" s="125"/>
      <c r="GE89" s="125"/>
      <c r="GF89" s="125"/>
      <c r="GG89" s="125"/>
      <c r="GH89" s="125"/>
      <c r="GI89" s="125"/>
      <c r="GJ89" s="125"/>
      <c r="GK89" s="125"/>
      <c r="GL89" s="125"/>
      <c r="GM89" s="125"/>
      <c r="GN89" s="125"/>
      <c r="GO89" s="125"/>
      <c r="GP89" s="125"/>
      <c r="GQ89" s="125"/>
      <c r="GR89" s="125"/>
      <c r="GS89" s="125"/>
      <c r="GT89" s="125"/>
      <c r="GU89" s="125"/>
      <c r="GV89" s="125"/>
      <c r="GW89" s="125"/>
      <c r="GX89" s="125"/>
      <c r="GY89" s="125"/>
      <c r="GZ89" s="125"/>
      <c r="HA89" s="125"/>
      <c r="HB89" s="125"/>
      <c r="HC89" s="125"/>
      <c r="HD89" s="125"/>
      <c r="HE89" s="125"/>
      <c r="HF89" s="125"/>
      <c r="HG89" s="125"/>
      <c r="HH89" s="125"/>
      <c r="HI89" s="125"/>
      <c r="HJ89" s="125"/>
      <c r="HK89" s="125"/>
      <c r="HL89" s="125"/>
      <c r="HM89" s="125"/>
      <c r="HN89" s="125"/>
      <c r="HO89" s="125"/>
      <c r="HP89" s="125"/>
      <c r="HQ89" s="125"/>
      <c r="HR89" s="125"/>
      <c r="HS89" s="125"/>
      <c r="HT89" s="125"/>
      <c r="HU89" s="125"/>
      <c r="HV89" s="125"/>
      <c r="HW89" s="125"/>
      <c r="HX89" s="125"/>
      <c r="HY89" s="125"/>
      <c r="HZ89" s="125"/>
      <c r="IA89" s="125"/>
      <c r="IB89" s="125"/>
      <c r="IC89" s="125"/>
      <c r="ID89" s="125"/>
      <c r="IE89" s="125"/>
      <c r="IF89" s="125"/>
      <c r="IG89" s="125"/>
      <c r="IH89" s="125"/>
      <c r="II89" s="125"/>
      <c r="IJ89" s="125"/>
      <c r="IK89" s="125"/>
      <c r="IL89" s="125"/>
      <c r="IM89" s="125"/>
      <c r="IN89" s="125"/>
      <c r="IO89" s="125"/>
      <c r="IP89" s="125"/>
      <c r="IQ89" s="125"/>
      <c r="IR89" s="125"/>
      <c r="IS89" s="125"/>
      <c r="IT89" s="125"/>
      <c r="IU89" s="125"/>
      <c r="IV89" s="125"/>
      <c r="IW89" s="125"/>
      <c r="IX89" s="125"/>
      <c r="IY89" s="125"/>
      <c r="IZ89" s="125"/>
      <c r="JA89" s="125"/>
      <c r="JB89" s="125"/>
      <c r="JC89" s="125"/>
      <c r="JD89" s="125"/>
      <c r="JE89" s="125"/>
      <c r="JF89" s="125"/>
      <c r="JG89" s="125"/>
      <c r="JH89" s="125"/>
      <c r="JI89" s="119">
        <f t="shared" si="2"/>
        <v>0</v>
      </c>
      <c r="JJ89" s="315"/>
      <c r="JK89" s="125"/>
      <c r="JL89" s="125">
        <f t="shared" si="3"/>
        <v>0</v>
      </c>
      <c r="JM89" s="1"/>
      <c r="JN89" s="1"/>
      <c r="JO89" s="1"/>
      <c r="JP89" s="1"/>
    </row>
    <row r="90" spans="1:276" x14ac:dyDescent="0.25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  <c r="BM90" s="125"/>
      <c r="BN90" s="125"/>
      <c r="BO90" s="125"/>
      <c r="BP90" s="125"/>
      <c r="BQ90" s="125"/>
      <c r="BR90" s="125"/>
      <c r="BS90" s="125"/>
      <c r="BT90" s="125"/>
      <c r="BU90" s="125"/>
      <c r="BV90" s="125"/>
      <c r="BW90" s="125"/>
      <c r="BX90" s="125"/>
      <c r="BY90" s="125"/>
      <c r="BZ90" s="125"/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  <c r="CW90" s="125"/>
      <c r="CX90" s="125"/>
      <c r="CY90" s="125"/>
      <c r="CZ90" s="125"/>
      <c r="DA90" s="125"/>
      <c r="DB90" s="125"/>
      <c r="DC90" s="125"/>
      <c r="DD90" s="125"/>
      <c r="DE90" s="125"/>
      <c r="DF90" s="125"/>
      <c r="DG90" s="125"/>
      <c r="DH90" s="125"/>
      <c r="DI90" s="125"/>
      <c r="DJ90" s="125"/>
      <c r="DK90" s="125"/>
      <c r="DL90" s="125"/>
      <c r="DM90" s="125"/>
      <c r="DN90" s="125"/>
      <c r="DO90" s="125"/>
      <c r="DP90" s="125"/>
      <c r="DQ90" s="125"/>
      <c r="DR90" s="125"/>
      <c r="DS90" s="125"/>
      <c r="DT90" s="125"/>
      <c r="DU90" s="125"/>
      <c r="DV90" s="125"/>
      <c r="DW90" s="125"/>
      <c r="DX90" s="125"/>
      <c r="DY90" s="125"/>
      <c r="DZ90" s="125"/>
      <c r="EA90" s="125"/>
      <c r="EB90" s="125"/>
      <c r="EC90" s="125"/>
      <c r="ED90" s="125"/>
      <c r="EE90" s="125"/>
      <c r="EF90" s="125"/>
      <c r="EG90" s="125"/>
      <c r="EH90" s="125"/>
      <c r="EI90" s="125"/>
      <c r="EJ90" s="125"/>
      <c r="EK90" s="125"/>
      <c r="EL90" s="125"/>
      <c r="EM90" s="125"/>
      <c r="EN90" s="125"/>
      <c r="EO90" s="125"/>
      <c r="EP90" s="125"/>
      <c r="EQ90" s="125"/>
      <c r="ER90" s="125"/>
      <c r="ES90" s="125"/>
      <c r="ET90" s="125"/>
      <c r="EU90" s="125"/>
      <c r="EV90" s="125"/>
      <c r="EW90" s="125"/>
      <c r="EX90" s="125"/>
      <c r="EY90" s="125"/>
      <c r="EZ90" s="125"/>
      <c r="FA90" s="125"/>
      <c r="FB90" s="125"/>
      <c r="FC90" s="125"/>
      <c r="FD90" s="125"/>
      <c r="FE90" s="125"/>
      <c r="FF90" s="125"/>
      <c r="FG90" s="125"/>
      <c r="FH90" s="125"/>
      <c r="FI90" s="125"/>
      <c r="FJ90" s="125"/>
      <c r="FK90" s="125"/>
      <c r="FL90" s="125"/>
      <c r="FM90" s="125"/>
      <c r="FN90" s="125"/>
      <c r="FO90" s="125"/>
      <c r="FP90" s="125"/>
      <c r="FQ90" s="125"/>
      <c r="FR90" s="125"/>
      <c r="FS90" s="125"/>
      <c r="FT90" s="125"/>
      <c r="FU90" s="125"/>
      <c r="FV90" s="125"/>
      <c r="FW90" s="125"/>
      <c r="FX90" s="125"/>
      <c r="FY90" s="125"/>
      <c r="FZ90" s="125"/>
      <c r="GA90" s="125"/>
      <c r="GB90" s="125"/>
      <c r="GC90" s="125"/>
      <c r="GD90" s="125"/>
      <c r="GE90" s="125"/>
      <c r="GF90" s="125"/>
      <c r="GG90" s="125"/>
      <c r="GH90" s="125"/>
      <c r="GI90" s="125"/>
      <c r="GJ90" s="125"/>
      <c r="GK90" s="125"/>
      <c r="GL90" s="125"/>
      <c r="GM90" s="125"/>
      <c r="GN90" s="125"/>
      <c r="GO90" s="125"/>
      <c r="GP90" s="125"/>
      <c r="GQ90" s="125"/>
      <c r="GR90" s="125"/>
      <c r="GS90" s="125"/>
      <c r="GT90" s="125"/>
      <c r="GU90" s="125"/>
      <c r="GV90" s="125"/>
      <c r="GW90" s="125"/>
      <c r="GX90" s="125"/>
      <c r="GY90" s="125"/>
      <c r="GZ90" s="125"/>
      <c r="HA90" s="125"/>
      <c r="HB90" s="125"/>
      <c r="HC90" s="125"/>
      <c r="HD90" s="125"/>
      <c r="HE90" s="125"/>
      <c r="HF90" s="125"/>
      <c r="HG90" s="125"/>
      <c r="HH90" s="125"/>
      <c r="HI90" s="125"/>
      <c r="HJ90" s="125"/>
      <c r="HK90" s="125"/>
      <c r="HL90" s="125"/>
      <c r="HM90" s="125"/>
      <c r="HN90" s="125"/>
      <c r="HO90" s="125"/>
      <c r="HP90" s="125"/>
      <c r="HQ90" s="125"/>
      <c r="HR90" s="125"/>
      <c r="HS90" s="125"/>
      <c r="HT90" s="125"/>
      <c r="HU90" s="125"/>
      <c r="HV90" s="125"/>
      <c r="HW90" s="125"/>
      <c r="HX90" s="125"/>
      <c r="HY90" s="125"/>
      <c r="HZ90" s="125"/>
      <c r="IA90" s="125"/>
      <c r="IB90" s="125"/>
      <c r="IC90" s="125"/>
      <c r="ID90" s="125"/>
      <c r="IE90" s="125"/>
      <c r="IF90" s="125"/>
      <c r="IG90" s="125"/>
      <c r="IH90" s="125"/>
      <c r="II90" s="125"/>
      <c r="IJ90" s="125"/>
      <c r="IK90" s="125"/>
      <c r="IL90" s="125"/>
      <c r="IM90" s="125"/>
      <c r="IN90" s="125"/>
      <c r="IO90" s="125"/>
      <c r="IP90" s="125"/>
      <c r="IQ90" s="125"/>
      <c r="IR90" s="125"/>
      <c r="IS90" s="125"/>
      <c r="IT90" s="125"/>
      <c r="IU90" s="125"/>
      <c r="IV90" s="125"/>
      <c r="IW90" s="125"/>
      <c r="IX90" s="125"/>
      <c r="IY90" s="125"/>
      <c r="IZ90" s="125"/>
      <c r="JA90" s="125"/>
      <c r="JB90" s="125"/>
      <c r="JC90" s="125"/>
      <c r="JD90" s="125"/>
      <c r="JE90" s="125"/>
      <c r="JF90" s="125"/>
      <c r="JG90" s="125"/>
      <c r="JH90" s="125"/>
      <c r="JI90" s="119">
        <f t="shared" si="2"/>
        <v>0</v>
      </c>
      <c r="JJ90" s="315"/>
      <c r="JK90" s="125"/>
      <c r="JL90" s="125">
        <f t="shared" si="3"/>
        <v>0</v>
      </c>
      <c r="JM90" s="1"/>
      <c r="JN90" s="1"/>
      <c r="JO90" s="1"/>
      <c r="JP90" s="1"/>
    </row>
    <row r="91" spans="1:276" x14ac:dyDescent="0.25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  <c r="BM91" s="125"/>
      <c r="BN91" s="125"/>
      <c r="BO91" s="125"/>
      <c r="BP91" s="125"/>
      <c r="BQ91" s="125"/>
      <c r="BR91" s="125"/>
      <c r="BS91" s="125"/>
      <c r="BT91" s="125"/>
      <c r="BU91" s="125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/>
      <c r="EB91" s="125"/>
      <c r="EC91" s="125"/>
      <c r="ED91" s="125"/>
      <c r="EE91" s="125"/>
      <c r="EF91" s="125"/>
      <c r="EG91" s="125"/>
      <c r="EH91" s="125"/>
      <c r="EI91" s="125"/>
      <c r="EJ91" s="125"/>
      <c r="EK91" s="125"/>
      <c r="EL91" s="125"/>
      <c r="EM91" s="125"/>
      <c r="EN91" s="125"/>
      <c r="EO91" s="125"/>
      <c r="EP91" s="125"/>
      <c r="EQ91" s="125"/>
      <c r="ER91" s="125"/>
      <c r="ES91" s="125"/>
      <c r="ET91" s="125"/>
      <c r="EU91" s="125"/>
      <c r="EV91" s="125"/>
      <c r="EW91" s="125"/>
      <c r="EX91" s="125"/>
      <c r="EY91" s="125"/>
      <c r="EZ91" s="125"/>
      <c r="FA91" s="125"/>
      <c r="FB91" s="125"/>
      <c r="FC91" s="125"/>
      <c r="FD91" s="125"/>
      <c r="FE91" s="125"/>
      <c r="FF91" s="125"/>
      <c r="FG91" s="125"/>
      <c r="FH91" s="125"/>
      <c r="FI91" s="125"/>
      <c r="FJ91" s="125"/>
      <c r="FK91" s="125"/>
      <c r="FL91" s="125"/>
      <c r="FM91" s="125"/>
      <c r="FN91" s="125"/>
      <c r="FO91" s="125"/>
      <c r="FP91" s="125"/>
      <c r="FQ91" s="125"/>
      <c r="FR91" s="125"/>
      <c r="FS91" s="125"/>
      <c r="FT91" s="125"/>
      <c r="FU91" s="125"/>
      <c r="FV91" s="125"/>
      <c r="FW91" s="125"/>
      <c r="FX91" s="125"/>
      <c r="FY91" s="125"/>
      <c r="FZ91" s="125"/>
      <c r="GA91" s="125"/>
      <c r="GB91" s="125"/>
      <c r="GC91" s="125"/>
      <c r="GD91" s="125"/>
      <c r="GE91" s="125"/>
      <c r="GF91" s="125"/>
      <c r="GG91" s="125"/>
      <c r="GH91" s="125"/>
      <c r="GI91" s="125"/>
      <c r="GJ91" s="125"/>
      <c r="GK91" s="125"/>
      <c r="GL91" s="125"/>
      <c r="GM91" s="125"/>
      <c r="GN91" s="125"/>
      <c r="GO91" s="125"/>
      <c r="GP91" s="125"/>
      <c r="GQ91" s="125"/>
      <c r="GR91" s="125"/>
      <c r="GS91" s="125"/>
      <c r="GT91" s="125"/>
      <c r="GU91" s="125"/>
      <c r="GV91" s="125"/>
      <c r="GW91" s="125"/>
      <c r="GX91" s="125"/>
      <c r="GY91" s="125"/>
      <c r="GZ91" s="125"/>
      <c r="HA91" s="125"/>
      <c r="HB91" s="125"/>
      <c r="HC91" s="125"/>
      <c r="HD91" s="125"/>
      <c r="HE91" s="125"/>
      <c r="HF91" s="125"/>
      <c r="HG91" s="125"/>
      <c r="HH91" s="125"/>
      <c r="HI91" s="125"/>
      <c r="HJ91" s="125"/>
      <c r="HK91" s="125"/>
      <c r="HL91" s="125"/>
      <c r="HM91" s="125"/>
      <c r="HN91" s="125"/>
      <c r="HO91" s="125"/>
      <c r="HP91" s="125"/>
      <c r="HQ91" s="125"/>
      <c r="HR91" s="125"/>
      <c r="HS91" s="125"/>
      <c r="HT91" s="125"/>
      <c r="HU91" s="125"/>
      <c r="HV91" s="125"/>
      <c r="HW91" s="125"/>
      <c r="HX91" s="125"/>
      <c r="HY91" s="125"/>
      <c r="HZ91" s="125"/>
      <c r="IA91" s="125"/>
      <c r="IB91" s="125"/>
      <c r="IC91" s="125"/>
      <c r="ID91" s="125"/>
      <c r="IE91" s="125"/>
      <c r="IF91" s="125"/>
      <c r="IG91" s="125"/>
      <c r="IH91" s="125"/>
      <c r="II91" s="125"/>
      <c r="IJ91" s="125"/>
      <c r="IK91" s="125"/>
      <c r="IL91" s="125"/>
      <c r="IM91" s="125"/>
      <c r="IN91" s="125"/>
      <c r="IO91" s="125"/>
      <c r="IP91" s="125"/>
      <c r="IQ91" s="125"/>
      <c r="IR91" s="125"/>
      <c r="IS91" s="125"/>
      <c r="IT91" s="125"/>
      <c r="IU91" s="125"/>
      <c r="IV91" s="125"/>
      <c r="IW91" s="125"/>
      <c r="IX91" s="125"/>
      <c r="IY91" s="125"/>
      <c r="IZ91" s="125"/>
      <c r="JA91" s="125"/>
      <c r="JB91" s="125"/>
      <c r="JC91" s="125"/>
      <c r="JD91" s="125"/>
      <c r="JE91" s="125"/>
      <c r="JF91" s="125"/>
      <c r="JG91" s="125"/>
      <c r="JH91" s="125"/>
      <c r="JI91" s="119">
        <f t="shared" si="2"/>
        <v>0</v>
      </c>
      <c r="JJ91" s="315"/>
      <c r="JK91" s="125"/>
      <c r="JL91" s="125">
        <f t="shared" si="3"/>
        <v>0</v>
      </c>
      <c r="JM91" s="1"/>
      <c r="JN91" s="1"/>
      <c r="JO91" s="1"/>
      <c r="JP91" s="1"/>
    </row>
    <row r="92" spans="1:276" x14ac:dyDescent="0.25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  <c r="DG92" s="125"/>
      <c r="DH92" s="125"/>
      <c r="DI92" s="125"/>
      <c r="DJ92" s="125"/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25"/>
      <c r="FV92" s="125"/>
      <c r="FW92" s="125"/>
      <c r="FX92" s="125"/>
      <c r="FY92" s="125"/>
      <c r="FZ92" s="125"/>
      <c r="GA92" s="125"/>
      <c r="GB92" s="125"/>
      <c r="GC92" s="125"/>
      <c r="GD92" s="125"/>
      <c r="GE92" s="125"/>
      <c r="GF92" s="125"/>
      <c r="GG92" s="125"/>
      <c r="GH92" s="125"/>
      <c r="GI92" s="125"/>
      <c r="GJ92" s="125"/>
      <c r="GK92" s="125"/>
      <c r="GL92" s="125"/>
      <c r="GM92" s="125"/>
      <c r="GN92" s="125"/>
      <c r="GO92" s="125"/>
      <c r="GP92" s="125"/>
      <c r="GQ92" s="125"/>
      <c r="GR92" s="125"/>
      <c r="GS92" s="125"/>
      <c r="GT92" s="125"/>
      <c r="GU92" s="125"/>
      <c r="GV92" s="125"/>
      <c r="GW92" s="125"/>
      <c r="GX92" s="125"/>
      <c r="GY92" s="125"/>
      <c r="GZ92" s="125"/>
      <c r="HA92" s="125"/>
      <c r="HB92" s="125"/>
      <c r="HC92" s="125"/>
      <c r="HD92" s="125"/>
      <c r="HE92" s="125"/>
      <c r="HF92" s="125"/>
      <c r="HG92" s="125"/>
      <c r="HH92" s="125"/>
      <c r="HI92" s="125"/>
      <c r="HJ92" s="125"/>
      <c r="HK92" s="125"/>
      <c r="HL92" s="125"/>
      <c r="HM92" s="125"/>
      <c r="HN92" s="125"/>
      <c r="HO92" s="125"/>
      <c r="HP92" s="125"/>
      <c r="HQ92" s="125"/>
      <c r="HR92" s="125"/>
      <c r="HS92" s="125"/>
      <c r="HT92" s="125"/>
      <c r="HU92" s="125"/>
      <c r="HV92" s="125"/>
      <c r="HW92" s="125"/>
      <c r="HX92" s="125"/>
      <c r="HY92" s="125"/>
      <c r="HZ92" s="125"/>
      <c r="IA92" s="125"/>
      <c r="IB92" s="125"/>
      <c r="IC92" s="125"/>
      <c r="ID92" s="125"/>
      <c r="IE92" s="125"/>
      <c r="IF92" s="125"/>
      <c r="IG92" s="125"/>
      <c r="IH92" s="125"/>
      <c r="II92" s="125"/>
      <c r="IJ92" s="125"/>
      <c r="IK92" s="125"/>
      <c r="IL92" s="125"/>
      <c r="IM92" s="125"/>
      <c r="IN92" s="125"/>
      <c r="IO92" s="125"/>
      <c r="IP92" s="125"/>
      <c r="IQ92" s="125"/>
      <c r="IR92" s="125"/>
      <c r="IS92" s="125"/>
      <c r="IT92" s="125"/>
      <c r="IU92" s="125"/>
      <c r="IV92" s="125"/>
      <c r="IW92" s="125"/>
      <c r="IX92" s="125"/>
      <c r="IY92" s="125"/>
      <c r="IZ92" s="125"/>
      <c r="JA92" s="125"/>
      <c r="JB92" s="125"/>
      <c r="JC92" s="125"/>
      <c r="JD92" s="125"/>
      <c r="JE92" s="125"/>
      <c r="JF92" s="125"/>
      <c r="JG92" s="125"/>
      <c r="JH92" s="125"/>
      <c r="JI92" s="119">
        <f t="shared" si="2"/>
        <v>0</v>
      </c>
      <c r="JJ92" s="315"/>
      <c r="JK92" s="125"/>
      <c r="JL92" s="125">
        <f t="shared" si="3"/>
        <v>0</v>
      </c>
      <c r="JM92" s="1"/>
      <c r="JN92" s="1"/>
      <c r="JO92" s="1"/>
      <c r="JP92" s="1"/>
    </row>
    <row r="93" spans="1:276" x14ac:dyDescent="0.25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/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  <c r="CW93" s="125"/>
      <c r="CX93" s="125"/>
      <c r="CY93" s="125"/>
      <c r="CZ93" s="125"/>
      <c r="DA93" s="125"/>
      <c r="DB93" s="125"/>
      <c r="DC93" s="125"/>
      <c r="DD93" s="125"/>
      <c r="DE93" s="125"/>
      <c r="DF93" s="125"/>
      <c r="DG93" s="125"/>
      <c r="DH93" s="125"/>
      <c r="DI93" s="125"/>
      <c r="DJ93" s="125"/>
      <c r="DK93" s="125"/>
      <c r="DL93" s="125"/>
      <c r="DM93" s="125"/>
      <c r="DN93" s="125"/>
      <c r="DO93" s="125"/>
      <c r="DP93" s="125"/>
      <c r="DQ93" s="125"/>
      <c r="DR93" s="125"/>
      <c r="DS93" s="125"/>
      <c r="DT93" s="125"/>
      <c r="DU93" s="125"/>
      <c r="DV93" s="125"/>
      <c r="DW93" s="125"/>
      <c r="DX93" s="125"/>
      <c r="DY93" s="125"/>
      <c r="DZ93" s="125"/>
      <c r="EA93" s="125"/>
      <c r="EB93" s="125"/>
      <c r="EC93" s="125"/>
      <c r="ED93" s="125"/>
      <c r="EE93" s="125"/>
      <c r="EF93" s="125"/>
      <c r="EG93" s="125"/>
      <c r="EH93" s="125"/>
      <c r="EI93" s="125"/>
      <c r="EJ93" s="125"/>
      <c r="EK93" s="125"/>
      <c r="EL93" s="125"/>
      <c r="EM93" s="125"/>
      <c r="EN93" s="125"/>
      <c r="EO93" s="125"/>
      <c r="EP93" s="125"/>
      <c r="EQ93" s="125"/>
      <c r="ER93" s="125"/>
      <c r="ES93" s="125"/>
      <c r="ET93" s="125"/>
      <c r="EU93" s="125"/>
      <c r="EV93" s="125"/>
      <c r="EW93" s="125"/>
      <c r="EX93" s="125"/>
      <c r="EY93" s="125"/>
      <c r="EZ93" s="125"/>
      <c r="FA93" s="125"/>
      <c r="FB93" s="125"/>
      <c r="FC93" s="125"/>
      <c r="FD93" s="125"/>
      <c r="FE93" s="125"/>
      <c r="FF93" s="125"/>
      <c r="FG93" s="125"/>
      <c r="FH93" s="125"/>
      <c r="FI93" s="125"/>
      <c r="FJ93" s="125"/>
      <c r="FK93" s="125"/>
      <c r="FL93" s="125"/>
      <c r="FM93" s="125"/>
      <c r="FN93" s="125"/>
      <c r="FO93" s="125"/>
      <c r="FP93" s="125"/>
      <c r="FQ93" s="125"/>
      <c r="FR93" s="125"/>
      <c r="FS93" s="125"/>
      <c r="FT93" s="125"/>
      <c r="FU93" s="125"/>
      <c r="FV93" s="125"/>
      <c r="FW93" s="125"/>
      <c r="FX93" s="125"/>
      <c r="FY93" s="125"/>
      <c r="FZ93" s="125"/>
      <c r="GA93" s="125"/>
      <c r="GB93" s="125"/>
      <c r="GC93" s="125"/>
      <c r="GD93" s="125"/>
      <c r="GE93" s="125"/>
      <c r="GF93" s="125"/>
      <c r="GG93" s="125"/>
      <c r="GH93" s="125"/>
      <c r="GI93" s="125"/>
      <c r="GJ93" s="125"/>
      <c r="GK93" s="125"/>
      <c r="GL93" s="125"/>
      <c r="GM93" s="125"/>
      <c r="GN93" s="125"/>
      <c r="GO93" s="125"/>
      <c r="GP93" s="125"/>
      <c r="GQ93" s="125"/>
      <c r="GR93" s="125"/>
      <c r="GS93" s="125"/>
      <c r="GT93" s="125"/>
      <c r="GU93" s="125"/>
      <c r="GV93" s="125"/>
      <c r="GW93" s="125"/>
      <c r="GX93" s="125"/>
      <c r="GY93" s="125"/>
      <c r="GZ93" s="125"/>
      <c r="HA93" s="125"/>
      <c r="HB93" s="125"/>
      <c r="HC93" s="125"/>
      <c r="HD93" s="125"/>
      <c r="HE93" s="125"/>
      <c r="HF93" s="125"/>
      <c r="HG93" s="125"/>
      <c r="HH93" s="125"/>
      <c r="HI93" s="125"/>
      <c r="HJ93" s="125"/>
      <c r="HK93" s="125"/>
      <c r="HL93" s="125"/>
      <c r="HM93" s="125"/>
      <c r="HN93" s="125"/>
      <c r="HO93" s="125"/>
      <c r="HP93" s="125"/>
      <c r="HQ93" s="125"/>
      <c r="HR93" s="125"/>
      <c r="HS93" s="125"/>
      <c r="HT93" s="125"/>
      <c r="HU93" s="125"/>
      <c r="HV93" s="125"/>
      <c r="HW93" s="125"/>
      <c r="HX93" s="125"/>
      <c r="HY93" s="125"/>
      <c r="HZ93" s="125"/>
      <c r="IA93" s="125"/>
      <c r="IB93" s="125"/>
      <c r="IC93" s="125"/>
      <c r="ID93" s="125"/>
      <c r="IE93" s="125"/>
      <c r="IF93" s="125"/>
      <c r="IG93" s="125"/>
      <c r="IH93" s="125"/>
      <c r="II93" s="125"/>
      <c r="IJ93" s="125"/>
      <c r="IK93" s="125"/>
      <c r="IL93" s="125"/>
      <c r="IM93" s="125"/>
      <c r="IN93" s="125"/>
      <c r="IO93" s="125"/>
      <c r="IP93" s="125"/>
      <c r="IQ93" s="125"/>
      <c r="IR93" s="125"/>
      <c r="IS93" s="125"/>
      <c r="IT93" s="125"/>
      <c r="IU93" s="125"/>
      <c r="IV93" s="125"/>
      <c r="IW93" s="125"/>
      <c r="IX93" s="125"/>
      <c r="IY93" s="125"/>
      <c r="IZ93" s="125"/>
      <c r="JA93" s="125"/>
      <c r="JB93" s="125"/>
      <c r="JC93" s="125"/>
      <c r="JD93" s="125"/>
      <c r="JE93" s="125"/>
      <c r="JF93" s="125"/>
      <c r="JG93" s="125"/>
      <c r="JH93" s="125"/>
      <c r="JI93" s="119">
        <f t="shared" si="2"/>
        <v>0</v>
      </c>
      <c r="JJ93" s="315"/>
      <c r="JK93" s="125"/>
      <c r="JL93" s="125">
        <f t="shared" si="3"/>
        <v>0</v>
      </c>
      <c r="JM93" s="1"/>
      <c r="JN93" s="1"/>
      <c r="JO93" s="1"/>
      <c r="JP93" s="1"/>
    </row>
    <row r="94" spans="1:276" x14ac:dyDescent="0.25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/>
      <c r="DX94" s="125"/>
      <c r="DY94" s="125"/>
      <c r="DZ94" s="125"/>
      <c r="EA94" s="125"/>
      <c r="EB94" s="125"/>
      <c r="EC94" s="125"/>
      <c r="ED94" s="125"/>
      <c r="EE94" s="125"/>
      <c r="EF94" s="125"/>
      <c r="EG94" s="125"/>
      <c r="EH94" s="125"/>
      <c r="EI94" s="125"/>
      <c r="EJ94" s="125"/>
      <c r="EK94" s="125"/>
      <c r="EL94" s="125"/>
      <c r="EM94" s="125"/>
      <c r="EN94" s="125"/>
      <c r="EO94" s="125"/>
      <c r="EP94" s="125"/>
      <c r="EQ94" s="125"/>
      <c r="ER94" s="125"/>
      <c r="ES94" s="125"/>
      <c r="ET94" s="125"/>
      <c r="EU94" s="125"/>
      <c r="EV94" s="125"/>
      <c r="EW94" s="125"/>
      <c r="EX94" s="125"/>
      <c r="EY94" s="125"/>
      <c r="EZ94" s="125"/>
      <c r="FA94" s="125"/>
      <c r="FB94" s="125"/>
      <c r="FC94" s="125"/>
      <c r="FD94" s="125"/>
      <c r="FE94" s="125"/>
      <c r="FF94" s="125"/>
      <c r="FG94" s="125"/>
      <c r="FH94" s="125"/>
      <c r="FI94" s="125"/>
      <c r="FJ94" s="125"/>
      <c r="FK94" s="125"/>
      <c r="FL94" s="125"/>
      <c r="FM94" s="125"/>
      <c r="FN94" s="125"/>
      <c r="FO94" s="125"/>
      <c r="FP94" s="125"/>
      <c r="FQ94" s="125"/>
      <c r="FR94" s="125"/>
      <c r="FS94" s="125"/>
      <c r="FT94" s="125"/>
      <c r="FU94" s="125"/>
      <c r="FV94" s="125"/>
      <c r="FW94" s="125"/>
      <c r="FX94" s="125"/>
      <c r="FY94" s="125"/>
      <c r="FZ94" s="125"/>
      <c r="GA94" s="125"/>
      <c r="GB94" s="125"/>
      <c r="GC94" s="125"/>
      <c r="GD94" s="125"/>
      <c r="GE94" s="125"/>
      <c r="GF94" s="125"/>
      <c r="GG94" s="125"/>
      <c r="GH94" s="125"/>
      <c r="GI94" s="125"/>
      <c r="GJ94" s="125"/>
      <c r="GK94" s="125"/>
      <c r="GL94" s="125"/>
      <c r="GM94" s="125"/>
      <c r="GN94" s="125"/>
      <c r="GO94" s="125"/>
      <c r="GP94" s="125"/>
      <c r="GQ94" s="125"/>
      <c r="GR94" s="125"/>
      <c r="GS94" s="125"/>
      <c r="GT94" s="125"/>
      <c r="GU94" s="125"/>
      <c r="GV94" s="125"/>
      <c r="GW94" s="125"/>
      <c r="GX94" s="125"/>
      <c r="GY94" s="125"/>
      <c r="GZ94" s="125"/>
      <c r="HA94" s="125"/>
      <c r="HB94" s="125"/>
      <c r="HC94" s="125"/>
      <c r="HD94" s="125"/>
      <c r="HE94" s="125"/>
      <c r="HF94" s="125"/>
      <c r="HG94" s="125"/>
      <c r="HH94" s="125"/>
      <c r="HI94" s="125"/>
      <c r="HJ94" s="125"/>
      <c r="HK94" s="125"/>
      <c r="HL94" s="125"/>
      <c r="HM94" s="125"/>
      <c r="HN94" s="125"/>
      <c r="HO94" s="125"/>
      <c r="HP94" s="125"/>
      <c r="HQ94" s="125"/>
      <c r="HR94" s="125"/>
      <c r="HS94" s="125"/>
      <c r="HT94" s="125"/>
      <c r="HU94" s="125"/>
      <c r="HV94" s="125"/>
      <c r="HW94" s="125"/>
      <c r="HX94" s="125"/>
      <c r="HY94" s="125"/>
      <c r="HZ94" s="125"/>
      <c r="IA94" s="125"/>
      <c r="IB94" s="125"/>
      <c r="IC94" s="125"/>
      <c r="ID94" s="125"/>
      <c r="IE94" s="125"/>
      <c r="IF94" s="125"/>
      <c r="IG94" s="125"/>
      <c r="IH94" s="125"/>
      <c r="II94" s="125"/>
      <c r="IJ94" s="125"/>
      <c r="IK94" s="125"/>
      <c r="IL94" s="125"/>
      <c r="IM94" s="125"/>
      <c r="IN94" s="125"/>
      <c r="IO94" s="125"/>
      <c r="IP94" s="125"/>
      <c r="IQ94" s="125"/>
      <c r="IR94" s="125"/>
      <c r="IS94" s="125"/>
      <c r="IT94" s="125"/>
      <c r="IU94" s="125"/>
      <c r="IV94" s="125"/>
      <c r="IW94" s="125"/>
      <c r="IX94" s="125"/>
      <c r="IY94" s="125"/>
      <c r="IZ94" s="125"/>
      <c r="JA94" s="125"/>
      <c r="JB94" s="125"/>
      <c r="JC94" s="125"/>
      <c r="JD94" s="125"/>
      <c r="JE94" s="125"/>
      <c r="JF94" s="125"/>
      <c r="JG94" s="125"/>
      <c r="JH94" s="125"/>
      <c r="JI94" s="119">
        <f t="shared" si="2"/>
        <v>0</v>
      </c>
      <c r="JJ94" s="315"/>
      <c r="JK94" s="125"/>
      <c r="JL94" s="125">
        <f t="shared" si="3"/>
        <v>0</v>
      </c>
      <c r="JM94" s="1"/>
      <c r="JN94" s="1"/>
      <c r="JO94" s="1"/>
      <c r="JP94" s="1"/>
    </row>
    <row r="95" spans="1:276" x14ac:dyDescent="0.2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  <c r="DN95" s="125"/>
      <c r="DO95" s="125"/>
      <c r="DP95" s="125"/>
      <c r="DQ95" s="125"/>
      <c r="DR95" s="125"/>
      <c r="DS95" s="125"/>
      <c r="DT95" s="125"/>
      <c r="DU95" s="125"/>
      <c r="DV95" s="125"/>
      <c r="DW95" s="125"/>
      <c r="DX95" s="125"/>
      <c r="DY95" s="125"/>
      <c r="DZ95" s="125"/>
      <c r="EA95" s="125"/>
      <c r="EB95" s="125"/>
      <c r="EC95" s="125"/>
      <c r="ED95" s="125"/>
      <c r="EE95" s="125"/>
      <c r="EF95" s="125"/>
      <c r="EG95" s="125"/>
      <c r="EH95" s="125"/>
      <c r="EI95" s="125"/>
      <c r="EJ95" s="125"/>
      <c r="EK95" s="125"/>
      <c r="EL95" s="125"/>
      <c r="EM95" s="125"/>
      <c r="EN95" s="125"/>
      <c r="EO95" s="125"/>
      <c r="EP95" s="125"/>
      <c r="EQ95" s="125"/>
      <c r="ER95" s="125"/>
      <c r="ES95" s="125"/>
      <c r="ET95" s="125"/>
      <c r="EU95" s="125"/>
      <c r="EV95" s="125"/>
      <c r="EW95" s="125"/>
      <c r="EX95" s="125"/>
      <c r="EY95" s="125"/>
      <c r="EZ95" s="125"/>
      <c r="FA95" s="125"/>
      <c r="FB95" s="125"/>
      <c r="FC95" s="125"/>
      <c r="FD95" s="125"/>
      <c r="FE95" s="125"/>
      <c r="FF95" s="125"/>
      <c r="FG95" s="125"/>
      <c r="FH95" s="125"/>
      <c r="FI95" s="125"/>
      <c r="FJ95" s="125"/>
      <c r="FK95" s="125"/>
      <c r="FL95" s="125"/>
      <c r="FM95" s="125"/>
      <c r="FN95" s="125"/>
      <c r="FO95" s="125"/>
      <c r="FP95" s="125"/>
      <c r="FQ95" s="125"/>
      <c r="FR95" s="125"/>
      <c r="FS95" s="125"/>
      <c r="FT95" s="125"/>
      <c r="FU95" s="125"/>
      <c r="FV95" s="125"/>
      <c r="FW95" s="125"/>
      <c r="FX95" s="125"/>
      <c r="FY95" s="125"/>
      <c r="FZ95" s="125"/>
      <c r="GA95" s="125"/>
      <c r="GB95" s="125"/>
      <c r="GC95" s="125"/>
      <c r="GD95" s="125"/>
      <c r="GE95" s="125"/>
      <c r="GF95" s="125"/>
      <c r="GG95" s="125"/>
      <c r="GH95" s="125"/>
      <c r="GI95" s="125"/>
      <c r="GJ95" s="125"/>
      <c r="GK95" s="125"/>
      <c r="GL95" s="125"/>
      <c r="GM95" s="125"/>
      <c r="GN95" s="125"/>
      <c r="GO95" s="125"/>
      <c r="GP95" s="125"/>
      <c r="GQ95" s="125"/>
      <c r="GR95" s="125"/>
      <c r="GS95" s="125"/>
      <c r="GT95" s="125"/>
      <c r="GU95" s="125"/>
      <c r="GV95" s="125"/>
      <c r="GW95" s="125"/>
      <c r="GX95" s="125"/>
      <c r="GY95" s="125"/>
      <c r="GZ95" s="125"/>
      <c r="HA95" s="125"/>
      <c r="HB95" s="125"/>
      <c r="HC95" s="125"/>
      <c r="HD95" s="125"/>
      <c r="HE95" s="125"/>
      <c r="HF95" s="125"/>
      <c r="HG95" s="125"/>
      <c r="HH95" s="125"/>
      <c r="HI95" s="125"/>
      <c r="HJ95" s="125"/>
      <c r="HK95" s="125"/>
      <c r="HL95" s="125"/>
      <c r="HM95" s="125"/>
      <c r="HN95" s="125"/>
      <c r="HO95" s="125"/>
      <c r="HP95" s="125"/>
      <c r="HQ95" s="125"/>
      <c r="HR95" s="125"/>
      <c r="HS95" s="125"/>
      <c r="HT95" s="125"/>
      <c r="HU95" s="125"/>
      <c r="HV95" s="125"/>
      <c r="HW95" s="125"/>
      <c r="HX95" s="125"/>
      <c r="HY95" s="125"/>
      <c r="HZ95" s="125"/>
      <c r="IA95" s="125"/>
      <c r="IB95" s="125"/>
      <c r="IC95" s="125"/>
      <c r="ID95" s="125"/>
      <c r="IE95" s="125"/>
      <c r="IF95" s="125"/>
      <c r="IG95" s="125"/>
      <c r="IH95" s="125"/>
      <c r="II95" s="125"/>
      <c r="IJ95" s="125"/>
      <c r="IK95" s="125"/>
      <c r="IL95" s="125"/>
      <c r="IM95" s="125"/>
      <c r="IN95" s="125"/>
      <c r="IO95" s="125"/>
      <c r="IP95" s="125"/>
      <c r="IQ95" s="125"/>
      <c r="IR95" s="125"/>
      <c r="IS95" s="125"/>
      <c r="IT95" s="125"/>
      <c r="IU95" s="125"/>
      <c r="IV95" s="125"/>
      <c r="IW95" s="125"/>
      <c r="IX95" s="125"/>
      <c r="IY95" s="125"/>
      <c r="IZ95" s="125"/>
      <c r="JA95" s="125"/>
      <c r="JB95" s="125"/>
      <c r="JC95" s="125"/>
      <c r="JD95" s="125"/>
      <c r="JE95" s="125"/>
      <c r="JF95" s="125"/>
      <c r="JG95" s="125"/>
      <c r="JH95" s="125"/>
      <c r="JI95" s="119">
        <f t="shared" si="2"/>
        <v>0</v>
      </c>
      <c r="JJ95" s="315"/>
      <c r="JK95" s="125"/>
      <c r="JL95" s="125">
        <f t="shared" si="3"/>
        <v>0</v>
      </c>
      <c r="JM95" s="1"/>
      <c r="JN95" s="1"/>
      <c r="JO95" s="1"/>
      <c r="JP95" s="1"/>
    </row>
    <row r="96" spans="1:276" x14ac:dyDescent="0.25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5"/>
      <c r="DE96" s="125"/>
      <c r="DF96" s="125"/>
      <c r="DG96" s="125"/>
      <c r="DH96" s="125"/>
      <c r="DI96" s="125"/>
      <c r="DJ96" s="125"/>
      <c r="DK96" s="125"/>
      <c r="DL96" s="125"/>
      <c r="DM96" s="125"/>
      <c r="DN96" s="125"/>
      <c r="DO96" s="125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25"/>
      <c r="FV96" s="125"/>
      <c r="FW96" s="125"/>
      <c r="FX96" s="125"/>
      <c r="FY96" s="125"/>
      <c r="FZ96" s="125"/>
      <c r="GA96" s="125"/>
      <c r="GB96" s="125"/>
      <c r="GC96" s="125"/>
      <c r="GD96" s="125"/>
      <c r="GE96" s="125"/>
      <c r="GF96" s="125"/>
      <c r="GG96" s="125"/>
      <c r="GH96" s="125"/>
      <c r="GI96" s="125"/>
      <c r="GJ96" s="125"/>
      <c r="GK96" s="125"/>
      <c r="GL96" s="125"/>
      <c r="GM96" s="125"/>
      <c r="GN96" s="125"/>
      <c r="GO96" s="125"/>
      <c r="GP96" s="125"/>
      <c r="GQ96" s="125"/>
      <c r="GR96" s="125"/>
      <c r="GS96" s="125"/>
      <c r="GT96" s="125"/>
      <c r="GU96" s="125"/>
      <c r="GV96" s="125"/>
      <c r="GW96" s="125"/>
      <c r="GX96" s="125"/>
      <c r="GY96" s="125"/>
      <c r="GZ96" s="125"/>
      <c r="HA96" s="125"/>
      <c r="HB96" s="125"/>
      <c r="HC96" s="125"/>
      <c r="HD96" s="125"/>
      <c r="HE96" s="125"/>
      <c r="HF96" s="125"/>
      <c r="HG96" s="125"/>
      <c r="HH96" s="125"/>
      <c r="HI96" s="125"/>
      <c r="HJ96" s="125"/>
      <c r="HK96" s="125"/>
      <c r="HL96" s="125"/>
      <c r="HM96" s="125"/>
      <c r="HN96" s="125"/>
      <c r="HO96" s="125"/>
      <c r="HP96" s="125"/>
      <c r="HQ96" s="125"/>
      <c r="HR96" s="125"/>
      <c r="HS96" s="125"/>
      <c r="HT96" s="125"/>
      <c r="HU96" s="125"/>
      <c r="HV96" s="125"/>
      <c r="HW96" s="125"/>
      <c r="HX96" s="125"/>
      <c r="HY96" s="125"/>
      <c r="HZ96" s="125"/>
      <c r="IA96" s="125"/>
      <c r="IB96" s="125"/>
      <c r="IC96" s="125"/>
      <c r="ID96" s="125"/>
      <c r="IE96" s="125"/>
      <c r="IF96" s="125"/>
      <c r="IG96" s="125"/>
      <c r="IH96" s="125"/>
      <c r="II96" s="125"/>
      <c r="IJ96" s="125"/>
      <c r="IK96" s="125"/>
      <c r="IL96" s="125"/>
      <c r="IM96" s="125"/>
      <c r="IN96" s="125"/>
      <c r="IO96" s="125"/>
      <c r="IP96" s="125"/>
      <c r="IQ96" s="125"/>
      <c r="IR96" s="125"/>
      <c r="IS96" s="125"/>
      <c r="IT96" s="125"/>
      <c r="IU96" s="125"/>
      <c r="IV96" s="125"/>
      <c r="IW96" s="125"/>
      <c r="IX96" s="125"/>
      <c r="IY96" s="125"/>
      <c r="IZ96" s="125"/>
      <c r="JA96" s="125"/>
      <c r="JB96" s="125"/>
      <c r="JC96" s="125"/>
      <c r="JD96" s="125"/>
      <c r="JE96" s="125"/>
      <c r="JF96" s="125"/>
      <c r="JG96" s="125"/>
      <c r="JH96" s="125"/>
      <c r="JI96" s="119">
        <f t="shared" si="2"/>
        <v>0</v>
      </c>
      <c r="JJ96" s="315"/>
      <c r="JK96" s="125"/>
      <c r="JL96" s="125">
        <f t="shared" si="3"/>
        <v>0</v>
      </c>
      <c r="JM96" s="1"/>
      <c r="JN96" s="1"/>
      <c r="JO96" s="1"/>
      <c r="JP96" s="1"/>
    </row>
    <row r="97" spans="1:276" x14ac:dyDescent="0.25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/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  <c r="EE97" s="125"/>
      <c r="EF97" s="125"/>
      <c r="EG97" s="125"/>
      <c r="EH97" s="125"/>
      <c r="EI97" s="125"/>
      <c r="EJ97" s="125"/>
      <c r="EK97" s="125"/>
      <c r="EL97" s="125"/>
      <c r="EM97" s="125"/>
      <c r="EN97" s="125"/>
      <c r="EO97" s="125"/>
      <c r="EP97" s="125"/>
      <c r="EQ97" s="125"/>
      <c r="ER97" s="125"/>
      <c r="ES97" s="125"/>
      <c r="ET97" s="125"/>
      <c r="EU97" s="125"/>
      <c r="EV97" s="125"/>
      <c r="EW97" s="125"/>
      <c r="EX97" s="125"/>
      <c r="EY97" s="125"/>
      <c r="EZ97" s="125"/>
      <c r="FA97" s="125"/>
      <c r="FB97" s="125"/>
      <c r="FC97" s="125"/>
      <c r="FD97" s="125"/>
      <c r="FE97" s="125"/>
      <c r="FF97" s="125"/>
      <c r="FG97" s="125"/>
      <c r="FH97" s="125"/>
      <c r="FI97" s="125"/>
      <c r="FJ97" s="125"/>
      <c r="FK97" s="125"/>
      <c r="FL97" s="125"/>
      <c r="FM97" s="125"/>
      <c r="FN97" s="125"/>
      <c r="FO97" s="125"/>
      <c r="FP97" s="125"/>
      <c r="FQ97" s="125"/>
      <c r="FR97" s="125"/>
      <c r="FS97" s="125"/>
      <c r="FT97" s="125"/>
      <c r="FU97" s="125"/>
      <c r="FV97" s="125"/>
      <c r="FW97" s="125"/>
      <c r="FX97" s="125"/>
      <c r="FY97" s="125"/>
      <c r="FZ97" s="125"/>
      <c r="GA97" s="125"/>
      <c r="GB97" s="125"/>
      <c r="GC97" s="125"/>
      <c r="GD97" s="125"/>
      <c r="GE97" s="125"/>
      <c r="GF97" s="125"/>
      <c r="GG97" s="125"/>
      <c r="GH97" s="125"/>
      <c r="GI97" s="125"/>
      <c r="GJ97" s="125"/>
      <c r="GK97" s="125"/>
      <c r="GL97" s="125"/>
      <c r="GM97" s="125"/>
      <c r="GN97" s="125"/>
      <c r="GO97" s="125"/>
      <c r="GP97" s="125"/>
      <c r="GQ97" s="125"/>
      <c r="GR97" s="125"/>
      <c r="GS97" s="125"/>
      <c r="GT97" s="125"/>
      <c r="GU97" s="125"/>
      <c r="GV97" s="125"/>
      <c r="GW97" s="125"/>
      <c r="GX97" s="125"/>
      <c r="GY97" s="125"/>
      <c r="GZ97" s="125"/>
      <c r="HA97" s="125"/>
      <c r="HB97" s="125"/>
      <c r="HC97" s="125"/>
      <c r="HD97" s="125"/>
      <c r="HE97" s="125"/>
      <c r="HF97" s="125"/>
      <c r="HG97" s="125"/>
      <c r="HH97" s="125"/>
      <c r="HI97" s="125"/>
      <c r="HJ97" s="125"/>
      <c r="HK97" s="125"/>
      <c r="HL97" s="125"/>
      <c r="HM97" s="125"/>
      <c r="HN97" s="125"/>
      <c r="HO97" s="125"/>
      <c r="HP97" s="125"/>
      <c r="HQ97" s="125"/>
      <c r="HR97" s="125"/>
      <c r="HS97" s="125"/>
      <c r="HT97" s="125"/>
      <c r="HU97" s="125"/>
      <c r="HV97" s="125"/>
      <c r="HW97" s="125"/>
      <c r="HX97" s="125"/>
      <c r="HY97" s="125"/>
      <c r="HZ97" s="125"/>
      <c r="IA97" s="125"/>
      <c r="IB97" s="125"/>
      <c r="IC97" s="125"/>
      <c r="ID97" s="125"/>
      <c r="IE97" s="125"/>
      <c r="IF97" s="125"/>
      <c r="IG97" s="125"/>
      <c r="IH97" s="125"/>
      <c r="II97" s="125"/>
      <c r="IJ97" s="125"/>
      <c r="IK97" s="125"/>
      <c r="IL97" s="125"/>
      <c r="IM97" s="125"/>
      <c r="IN97" s="125"/>
      <c r="IO97" s="125"/>
      <c r="IP97" s="125"/>
      <c r="IQ97" s="125"/>
      <c r="IR97" s="125"/>
      <c r="IS97" s="125"/>
      <c r="IT97" s="125"/>
      <c r="IU97" s="125"/>
      <c r="IV97" s="125"/>
      <c r="IW97" s="125"/>
      <c r="IX97" s="125"/>
      <c r="IY97" s="125"/>
      <c r="IZ97" s="125"/>
      <c r="JA97" s="125"/>
      <c r="JB97" s="125"/>
      <c r="JC97" s="125"/>
      <c r="JD97" s="125"/>
      <c r="JE97" s="125"/>
      <c r="JF97" s="125"/>
      <c r="JG97" s="125"/>
      <c r="JH97" s="125"/>
      <c r="JI97" s="119">
        <f t="shared" si="2"/>
        <v>0</v>
      </c>
      <c r="JJ97" s="315"/>
      <c r="JK97" s="125"/>
      <c r="JL97" s="125">
        <f t="shared" si="3"/>
        <v>0</v>
      </c>
      <c r="JM97" s="1"/>
      <c r="JN97" s="1"/>
      <c r="JO97" s="1"/>
      <c r="JP97" s="1"/>
    </row>
    <row r="98" spans="1:276" x14ac:dyDescent="0.25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  <c r="BQ98" s="119"/>
      <c r="BR98" s="119"/>
      <c r="BS98" s="119"/>
      <c r="BT98" s="119"/>
      <c r="BU98" s="119"/>
      <c r="BV98" s="119"/>
      <c r="BW98" s="119"/>
      <c r="BX98" s="119"/>
      <c r="BY98" s="119"/>
      <c r="BZ98" s="119"/>
      <c r="CA98" s="119"/>
      <c r="CB98" s="119"/>
      <c r="CC98" s="119"/>
      <c r="CD98" s="119"/>
      <c r="CE98" s="119"/>
      <c r="CF98" s="119"/>
      <c r="CG98" s="119"/>
      <c r="CH98" s="119"/>
      <c r="CI98" s="119"/>
      <c r="CJ98" s="119"/>
      <c r="CK98" s="119"/>
      <c r="CL98" s="119"/>
      <c r="CM98" s="119"/>
      <c r="CN98" s="119"/>
      <c r="CO98" s="119"/>
      <c r="CP98" s="119"/>
      <c r="CQ98" s="119"/>
      <c r="CR98" s="119"/>
      <c r="CS98" s="119"/>
      <c r="CT98" s="119"/>
      <c r="CU98" s="119"/>
      <c r="CV98" s="119"/>
      <c r="CW98" s="119"/>
      <c r="CX98" s="119"/>
      <c r="CY98" s="119"/>
      <c r="CZ98" s="119"/>
      <c r="DA98" s="119"/>
      <c r="DB98" s="119"/>
      <c r="DC98" s="119"/>
      <c r="DD98" s="119"/>
      <c r="DE98" s="119"/>
      <c r="DF98" s="119"/>
      <c r="DG98" s="119"/>
      <c r="DH98" s="119"/>
      <c r="DI98" s="119"/>
      <c r="DJ98" s="119"/>
      <c r="DK98" s="119"/>
      <c r="DL98" s="119"/>
      <c r="DM98" s="119"/>
      <c r="DN98" s="119"/>
      <c r="DO98" s="119"/>
      <c r="DP98" s="119"/>
      <c r="DQ98" s="119"/>
      <c r="DR98" s="119"/>
      <c r="DS98" s="119"/>
      <c r="DT98" s="119"/>
      <c r="DU98" s="119"/>
      <c r="DV98" s="119"/>
      <c r="DW98" s="119"/>
      <c r="DX98" s="119"/>
      <c r="DY98" s="119"/>
      <c r="DZ98" s="119"/>
      <c r="EA98" s="119"/>
      <c r="EB98" s="119"/>
      <c r="EC98" s="119"/>
      <c r="ED98" s="119"/>
      <c r="EE98" s="119"/>
      <c r="EF98" s="119"/>
      <c r="EG98" s="119"/>
      <c r="EH98" s="119"/>
      <c r="EI98" s="119"/>
      <c r="EJ98" s="119"/>
      <c r="EK98" s="119"/>
      <c r="EL98" s="119"/>
      <c r="EM98" s="119"/>
      <c r="EN98" s="119"/>
      <c r="EO98" s="119"/>
      <c r="EP98" s="119"/>
      <c r="EQ98" s="119"/>
      <c r="ER98" s="119"/>
      <c r="ES98" s="119"/>
      <c r="ET98" s="119"/>
      <c r="EU98" s="119"/>
      <c r="EV98" s="119"/>
      <c r="EW98" s="119"/>
      <c r="EX98" s="119"/>
      <c r="EY98" s="119"/>
      <c r="EZ98" s="119"/>
      <c r="FA98" s="119"/>
      <c r="FB98" s="119"/>
      <c r="FC98" s="119"/>
      <c r="FD98" s="119"/>
      <c r="FE98" s="119"/>
      <c r="FF98" s="119"/>
      <c r="FG98" s="119"/>
      <c r="FH98" s="119"/>
      <c r="FI98" s="119"/>
      <c r="FJ98" s="119"/>
      <c r="FK98" s="119"/>
      <c r="FL98" s="119"/>
      <c r="FM98" s="119"/>
      <c r="FN98" s="119"/>
      <c r="FO98" s="119"/>
      <c r="FP98" s="119"/>
      <c r="FQ98" s="119"/>
      <c r="FR98" s="119"/>
      <c r="FS98" s="119"/>
      <c r="FT98" s="119"/>
      <c r="FU98" s="119"/>
      <c r="FV98" s="119"/>
      <c r="FW98" s="119"/>
      <c r="FX98" s="119"/>
      <c r="FY98" s="119"/>
      <c r="FZ98" s="119"/>
      <c r="GA98" s="119"/>
      <c r="GB98" s="119"/>
      <c r="GC98" s="119"/>
      <c r="GD98" s="119"/>
      <c r="GE98" s="119"/>
      <c r="GF98" s="119"/>
      <c r="GG98" s="119"/>
      <c r="GH98" s="119"/>
      <c r="GI98" s="119"/>
      <c r="GJ98" s="119"/>
      <c r="GK98" s="119"/>
      <c r="GL98" s="119"/>
      <c r="GM98" s="119"/>
      <c r="GN98" s="119"/>
      <c r="GO98" s="119"/>
      <c r="GP98" s="119"/>
      <c r="GQ98" s="119"/>
      <c r="GR98" s="119"/>
      <c r="GS98" s="119"/>
      <c r="GT98" s="119"/>
      <c r="GU98" s="119"/>
      <c r="GV98" s="119"/>
      <c r="GW98" s="119"/>
      <c r="GX98" s="119"/>
      <c r="GY98" s="119"/>
      <c r="GZ98" s="119"/>
      <c r="HA98" s="119"/>
      <c r="HB98" s="119"/>
      <c r="HC98" s="119"/>
      <c r="HD98" s="119"/>
      <c r="HE98" s="119"/>
      <c r="HF98" s="119"/>
      <c r="HG98" s="119"/>
      <c r="HH98" s="119"/>
      <c r="HI98" s="119"/>
      <c r="HJ98" s="119"/>
      <c r="HK98" s="119"/>
      <c r="HL98" s="119"/>
      <c r="HM98" s="119"/>
      <c r="HN98" s="119"/>
      <c r="HO98" s="119"/>
      <c r="HP98" s="119"/>
      <c r="HQ98" s="119"/>
      <c r="HR98" s="119"/>
      <c r="HS98" s="119"/>
      <c r="HT98" s="119"/>
      <c r="HU98" s="119"/>
      <c r="HV98" s="119"/>
      <c r="HW98" s="119"/>
      <c r="HX98" s="119"/>
      <c r="HY98" s="119"/>
      <c r="HZ98" s="119"/>
      <c r="IA98" s="119"/>
      <c r="IB98" s="119"/>
      <c r="IC98" s="119"/>
      <c r="ID98" s="119"/>
      <c r="IE98" s="119"/>
      <c r="IF98" s="119"/>
      <c r="IG98" s="119"/>
      <c r="IH98" s="119"/>
      <c r="II98" s="119"/>
      <c r="IJ98" s="119"/>
      <c r="IK98" s="119"/>
      <c r="IL98" s="119"/>
      <c r="IM98" s="119"/>
      <c r="IN98" s="119"/>
      <c r="IO98" s="119"/>
      <c r="IP98" s="119"/>
      <c r="IQ98" s="119"/>
      <c r="IR98" s="119"/>
      <c r="IS98" s="119"/>
      <c r="IT98" s="119"/>
      <c r="IU98" s="119"/>
      <c r="IV98" s="119"/>
      <c r="IW98" s="119"/>
      <c r="IX98" s="119"/>
      <c r="IY98" s="119"/>
      <c r="IZ98" s="119"/>
      <c r="JA98" s="119"/>
      <c r="JB98" s="119"/>
      <c r="JC98" s="119"/>
      <c r="JD98" s="119"/>
      <c r="JE98" s="119"/>
      <c r="JF98" s="119"/>
      <c r="JG98" s="119"/>
      <c r="JH98" s="273"/>
      <c r="JI98" s="119">
        <f t="shared" si="2"/>
        <v>0</v>
      </c>
      <c r="JJ98" s="315"/>
      <c r="JK98" s="125"/>
      <c r="JL98" s="125">
        <f t="shared" si="3"/>
        <v>0</v>
      </c>
      <c r="JM98" s="1"/>
      <c r="JN98" s="1"/>
      <c r="JO98" s="1"/>
      <c r="JP98" s="1"/>
    </row>
    <row r="99" spans="1:276" ht="15.75" x14ac:dyDescent="0.25">
      <c r="A99" s="266"/>
      <c r="B99" s="266"/>
      <c r="C99" s="266"/>
      <c r="D99" s="266"/>
      <c r="E99" s="266"/>
      <c r="F99" s="266"/>
      <c r="G99" s="266"/>
      <c r="H99" s="266"/>
      <c r="I99" s="266"/>
      <c r="J99" s="266"/>
      <c r="K99" s="266"/>
      <c r="L99" s="266"/>
      <c r="M99" s="266"/>
      <c r="N99" s="266"/>
      <c r="O99" s="266"/>
      <c r="P99" s="266"/>
      <c r="Q99" s="266"/>
      <c r="R99" s="266"/>
      <c r="S99" s="266"/>
      <c r="T99" s="266"/>
      <c r="U99" s="266"/>
      <c r="V99" s="266"/>
      <c r="W99" s="266"/>
      <c r="X99" s="266"/>
      <c r="Y99" s="266"/>
      <c r="Z99" s="266"/>
      <c r="AA99" s="266"/>
      <c r="AB99" s="266"/>
      <c r="AC99" s="266"/>
      <c r="AD99" s="266"/>
      <c r="AE99" s="266"/>
      <c r="AF99" s="266"/>
      <c r="AG99" s="266"/>
      <c r="AH99" s="266"/>
      <c r="AI99" s="266"/>
      <c r="AJ99" s="266"/>
      <c r="AK99" s="266"/>
      <c r="AL99" s="266"/>
      <c r="AM99" s="266"/>
      <c r="AN99" s="266"/>
      <c r="AO99" s="266"/>
      <c r="AP99" s="266"/>
      <c r="AQ99" s="266"/>
      <c r="AR99" s="266"/>
      <c r="AS99" s="266"/>
      <c r="AT99" s="266"/>
      <c r="AU99" s="266"/>
      <c r="AV99" s="266"/>
      <c r="AW99" s="266"/>
      <c r="AX99" s="266"/>
      <c r="AY99" s="266"/>
      <c r="AZ99" s="266"/>
      <c r="BA99" s="266"/>
      <c r="BB99" s="266"/>
      <c r="BC99" s="266"/>
      <c r="BD99" s="266"/>
      <c r="BE99" s="266"/>
      <c r="BF99" s="266"/>
      <c r="BG99" s="266"/>
      <c r="BH99" s="266"/>
      <c r="BI99" s="266"/>
      <c r="BJ99" s="266"/>
      <c r="BK99" s="266"/>
      <c r="BL99" s="266"/>
      <c r="BM99" s="266"/>
      <c r="BN99" s="266"/>
      <c r="BO99" s="266"/>
      <c r="BP99" s="266"/>
      <c r="BQ99" s="266"/>
      <c r="BR99" s="266"/>
      <c r="BS99" s="266"/>
      <c r="BT99" s="266"/>
      <c r="BU99" s="266"/>
      <c r="BV99" s="266"/>
      <c r="BW99" s="266"/>
      <c r="BX99" s="266"/>
      <c r="BY99" s="266"/>
      <c r="BZ99" s="266"/>
      <c r="CA99" s="266"/>
      <c r="CB99" s="266"/>
      <c r="CC99" s="266"/>
      <c r="CD99" s="266"/>
      <c r="CE99" s="266"/>
      <c r="CF99" s="266"/>
      <c r="CG99" s="266"/>
      <c r="CH99" s="266"/>
      <c r="CI99" s="266"/>
      <c r="CJ99" s="266"/>
      <c r="CK99" s="266"/>
      <c r="CL99" s="266"/>
      <c r="CM99" s="266"/>
      <c r="CN99" s="266"/>
      <c r="CO99" s="266"/>
      <c r="CP99" s="266"/>
      <c r="CQ99" s="266"/>
      <c r="CR99" s="266"/>
      <c r="CS99" s="266"/>
      <c r="CT99" s="266"/>
      <c r="CU99" s="266"/>
      <c r="CV99" s="266"/>
      <c r="CW99" s="266"/>
      <c r="CX99" s="266"/>
      <c r="CY99" s="266"/>
      <c r="CZ99" s="266"/>
      <c r="DA99" s="266"/>
      <c r="DB99" s="266"/>
      <c r="DC99" s="266"/>
      <c r="DD99" s="266"/>
      <c r="DE99" s="266"/>
      <c r="DF99" s="266"/>
      <c r="DG99" s="266"/>
      <c r="DH99" s="266"/>
      <c r="DI99" s="266"/>
      <c r="DJ99" s="266"/>
      <c r="DK99" s="266"/>
      <c r="DL99" s="266"/>
      <c r="DM99" s="266"/>
      <c r="DN99" s="266"/>
      <c r="DO99" s="266"/>
      <c r="DP99" s="266"/>
      <c r="DQ99" s="266"/>
      <c r="DR99" s="266"/>
      <c r="DS99" s="266"/>
      <c r="DT99" s="266"/>
      <c r="DU99" s="266"/>
      <c r="DV99" s="266"/>
      <c r="DW99" s="266"/>
      <c r="DX99" s="266"/>
      <c r="DY99" s="266"/>
      <c r="DZ99" s="266"/>
      <c r="EA99" s="266"/>
      <c r="EB99" s="266"/>
      <c r="EC99" s="266"/>
      <c r="ED99" s="266"/>
      <c r="EE99" s="266"/>
      <c r="EF99" s="266"/>
      <c r="EG99" s="266"/>
      <c r="EH99" s="266"/>
      <c r="EI99" s="266"/>
      <c r="EJ99" s="266"/>
      <c r="EK99" s="266"/>
      <c r="EL99" s="266"/>
      <c r="EM99" s="266"/>
      <c r="EN99" s="266"/>
      <c r="EO99" s="266"/>
      <c r="EP99" s="266"/>
      <c r="EQ99" s="266"/>
      <c r="ER99" s="266"/>
      <c r="ES99" s="266"/>
      <c r="ET99" s="266"/>
      <c r="EU99" s="266"/>
      <c r="EV99" s="266"/>
      <c r="EW99" s="266"/>
      <c r="EX99" s="266"/>
      <c r="EY99" s="266"/>
      <c r="EZ99" s="266"/>
      <c r="FA99" s="266"/>
      <c r="FB99" s="266"/>
      <c r="FC99" s="266"/>
      <c r="FD99" s="266"/>
      <c r="FE99" s="266"/>
      <c r="FF99" s="266"/>
      <c r="FG99" s="266"/>
      <c r="FH99" s="266"/>
      <c r="FI99" s="266"/>
      <c r="FJ99" s="266"/>
      <c r="FK99" s="266"/>
      <c r="FL99" s="266"/>
      <c r="FM99" s="266"/>
      <c r="FN99" s="266"/>
      <c r="FO99" s="266"/>
      <c r="FP99" s="266"/>
      <c r="FQ99" s="266"/>
      <c r="FR99" s="266"/>
      <c r="FS99" s="266"/>
      <c r="FT99" s="266"/>
      <c r="FU99" s="266"/>
      <c r="FV99" s="266"/>
      <c r="FW99" s="266"/>
      <c r="FX99" s="266"/>
      <c r="FY99" s="266"/>
      <c r="FZ99" s="266"/>
      <c r="GA99" s="266"/>
      <c r="GB99" s="266"/>
      <c r="GC99" s="266"/>
      <c r="GD99" s="266"/>
      <c r="GE99" s="266"/>
      <c r="GF99" s="266"/>
      <c r="GG99" s="266"/>
      <c r="GH99" s="266"/>
      <c r="GI99" s="266"/>
      <c r="GJ99" s="266"/>
      <c r="GK99" s="266"/>
      <c r="GL99" s="266"/>
      <c r="GM99" s="266"/>
      <c r="GN99" s="266"/>
      <c r="GO99" s="266"/>
      <c r="GP99" s="266"/>
      <c r="GQ99" s="266"/>
      <c r="GR99" s="266"/>
      <c r="GS99" s="266"/>
      <c r="GT99" s="266"/>
      <c r="GU99" s="266"/>
      <c r="GV99" s="266"/>
      <c r="GW99" s="266"/>
      <c r="GX99" s="266"/>
      <c r="GY99" s="266"/>
      <c r="GZ99" s="266"/>
      <c r="HA99" s="266"/>
      <c r="HB99" s="266"/>
      <c r="HC99" s="266"/>
      <c r="HD99" s="266"/>
      <c r="HE99" s="266"/>
      <c r="HF99" s="266"/>
      <c r="HG99" s="266"/>
      <c r="HH99" s="266"/>
      <c r="HI99" s="266"/>
      <c r="HJ99" s="266"/>
      <c r="HK99" s="266"/>
      <c r="HL99" s="266"/>
      <c r="HM99" s="266"/>
      <c r="HN99" s="266"/>
      <c r="HO99" s="266"/>
      <c r="HP99" s="266"/>
      <c r="HQ99" s="266"/>
      <c r="HR99" s="266"/>
      <c r="HS99" s="266"/>
      <c r="HT99" s="266"/>
      <c r="HU99" s="266"/>
      <c r="HV99" s="266"/>
      <c r="HW99" s="266"/>
      <c r="HX99" s="266"/>
      <c r="HY99" s="266"/>
      <c r="HZ99" s="266"/>
      <c r="IA99" s="266"/>
      <c r="IB99" s="266"/>
      <c r="IC99" s="266"/>
      <c r="ID99" s="266"/>
      <c r="IE99" s="266"/>
      <c r="IF99" s="266"/>
      <c r="IG99" s="266"/>
      <c r="IH99" s="266"/>
      <c r="II99" s="266"/>
      <c r="IJ99" s="266"/>
      <c r="IK99" s="266"/>
      <c r="IL99" s="266"/>
      <c r="IM99" s="266"/>
      <c r="IN99" s="266"/>
      <c r="IO99" s="266"/>
      <c r="IP99" s="266"/>
      <c r="IQ99" s="266"/>
      <c r="IR99" s="266"/>
      <c r="IS99" s="266"/>
      <c r="IT99" s="266"/>
      <c r="IU99" s="266"/>
      <c r="IV99" s="266"/>
      <c r="IW99" s="266"/>
      <c r="IX99" s="266"/>
      <c r="IY99" s="266"/>
      <c r="IZ99" s="266"/>
      <c r="JA99" s="266"/>
      <c r="JB99" s="266"/>
      <c r="JC99" s="266"/>
      <c r="JD99" s="266"/>
      <c r="JE99" s="266"/>
      <c r="JF99" s="266"/>
      <c r="JG99" s="266"/>
      <c r="JH99" s="266"/>
      <c r="JI99" s="119">
        <f t="shared" si="2"/>
        <v>0</v>
      </c>
      <c r="JJ99" s="315"/>
      <c r="JK99" s="125"/>
      <c r="JL99" s="125">
        <f t="shared" si="3"/>
        <v>0</v>
      </c>
      <c r="JM99" s="1"/>
      <c r="JN99" s="1"/>
      <c r="JO99" s="1"/>
      <c r="JP99" s="1"/>
    </row>
    <row r="100" spans="1:276" x14ac:dyDescent="0.25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122"/>
      <c r="BQ100" s="122"/>
      <c r="BR100" s="122"/>
      <c r="BS100" s="122"/>
      <c r="BT100" s="122"/>
      <c r="BU100" s="122"/>
      <c r="BV100" s="122"/>
      <c r="BW100" s="122"/>
      <c r="BX100" s="122"/>
      <c r="BY100" s="122"/>
      <c r="BZ100" s="122"/>
      <c r="CA100" s="122"/>
      <c r="CB100" s="122"/>
      <c r="CC100" s="122"/>
      <c r="CD100" s="122"/>
      <c r="CE100" s="122"/>
      <c r="CF100" s="122"/>
      <c r="CG100" s="122"/>
      <c r="CH100" s="122"/>
      <c r="CI100" s="122"/>
      <c r="CJ100" s="122"/>
      <c r="CK100" s="122"/>
      <c r="CL100" s="122"/>
      <c r="CM100" s="122"/>
      <c r="CN100" s="122"/>
      <c r="CO100" s="122"/>
      <c r="CP100" s="122"/>
      <c r="CQ100" s="122"/>
      <c r="CR100" s="122"/>
      <c r="CS100" s="122"/>
      <c r="CT100" s="122"/>
      <c r="CU100" s="122"/>
      <c r="CV100" s="122"/>
      <c r="CW100" s="122"/>
      <c r="CX100" s="122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/>
      <c r="EB100" s="122"/>
      <c r="EC100" s="122"/>
      <c r="ED100" s="122"/>
      <c r="EE100" s="122"/>
      <c r="EF100" s="122"/>
      <c r="EG100" s="122"/>
      <c r="EH100" s="122"/>
      <c r="EI100" s="122"/>
      <c r="EJ100" s="122"/>
      <c r="EK100" s="122"/>
      <c r="EL100" s="122"/>
      <c r="EM100" s="122"/>
      <c r="EN100" s="122"/>
      <c r="EO100" s="122"/>
      <c r="EP100" s="122"/>
      <c r="EQ100" s="122"/>
      <c r="ER100" s="122"/>
      <c r="ES100" s="122"/>
      <c r="ET100" s="122"/>
      <c r="EU100" s="122"/>
      <c r="EV100" s="122"/>
      <c r="EW100" s="122"/>
      <c r="EX100" s="122"/>
      <c r="EY100" s="122"/>
      <c r="EZ100" s="122"/>
      <c r="FA100" s="122"/>
      <c r="FB100" s="122"/>
      <c r="FC100" s="122"/>
      <c r="FD100" s="122"/>
      <c r="FE100" s="122"/>
      <c r="FF100" s="122"/>
      <c r="FG100" s="122"/>
      <c r="FH100" s="122"/>
      <c r="FI100" s="122"/>
      <c r="FJ100" s="122"/>
      <c r="FK100" s="122"/>
      <c r="FL100" s="122"/>
      <c r="FM100" s="122"/>
      <c r="FN100" s="122"/>
      <c r="FO100" s="122"/>
      <c r="FP100" s="122"/>
      <c r="FQ100" s="122"/>
      <c r="FR100" s="122"/>
      <c r="FS100" s="122"/>
      <c r="FT100" s="122"/>
      <c r="FU100" s="122"/>
      <c r="FV100" s="122"/>
      <c r="FW100" s="122"/>
      <c r="FX100" s="122"/>
      <c r="FY100" s="122"/>
      <c r="FZ100" s="122"/>
      <c r="GA100" s="122"/>
      <c r="GB100" s="122"/>
      <c r="GC100" s="122"/>
      <c r="GD100" s="122"/>
      <c r="GE100" s="122"/>
      <c r="GF100" s="122"/>
      <c r="GG100" s="122"/>
      <c r="GH100" s="122"/>
      <c r="GI100" s="122"/>
      <c r="GJ100" s="122"/>
      <c r="GK100" s="122"/>
      <c r="GL100" s="122"/>
      <c r="GM100" s="122"/>
      <c r="GN100" s="122"/>
      <c r="GO100" s="122"/>
      <c r="GP100" s="122"/>
      <c r="GQ100" s="122"/>
      <c r="GR100" s="122"/>
      <c r="GS100" s="122"/>
      <c r="GT100" s="122"/>
      <c r="GU100" s="122"/>
      <c r="GV100" s="122"/>
      <c r="GW100" s="122"/>
      <c r="GX100" s="122"/>
      <c r="GY100" s="122"/>
      <c r="GZ100" s="122"/>
      <c r="HA100" s="122"/>
      <c r="HB100" s="122"/>
      <c r="HC100" s="122"/>
      <c r="HD100" s="122"/>
      <c r="HE100" s="122"/>
      <c r="HF100" s="122"/>
      <c r="HG100" s="122"/>
      <c r="HH100" s="122"/>
      <c r="HI100" s="122"/>
      <c r="HJ100" s="122"/>
      <c r="HK100" s="122"/>
      <c r="HL100" s="122"/>
      <c r="HM100" s="122"/>
      <c r="HN100" s="122"/>
      <c r="HO100" s="122"/>
      <c r="HP100" s="122"/>
      <c r="HQ100" s="122"/>
      <c r="HR100" s="122"/>
      <c r="HS100" s="122"/>
      <c r="HT100" s="122"/>
      <c r="HU100" s="122"/>
      <c r="HV100" s="122"/>
      <c r="HW100" s="122"/>
      <c r="HX100" s="122"/>
      <c r="HY100" s="122"/>
      <c r="HZ100" s="122"/>
      <c r="IA100" s="122"/>
      <c r="IB100" s="122"/>
      <c r="IC100" s="122"/>
      <c r="ID100" s="122"/>
      <c r="IE100" s="122"/>
      <c r="IF100" s="122"/>
      <c r="IG100" s="122"/>
      <c r="IH100" s="122"/>
      <c r="II100" s="122"/>
      <c r="IJ100" s="122"/>
      <c r="IK100" s="122"/>
      <c r="IL100" s="122"/>
      <c r="IM100" s="122"/>
      <c r="IN100" s="122"/>
      <c r="IO100" s="122"/>
      <c r="IP100" s="122"/>
      <c r="IQ100" s="122"/>
      <c r="IR100" s="122"/>
      <c r="IS100" s="122"/>
      <c r="IT100" s="122"/>
      <c r="IU100" s="122"/>
      <c r="IV100" s="122"/>
      <c r="IW100" s="122"/>
      <c r="IX100" s="122"/>
      <c r="IY100" s="122"/>
      <c r="IZ100" s="122"/>
      <c r="JA100" s="122"/>
      <c r="JB100" s="122"/>
      <c r="JC100" s="122"/>
      <c r="JD100" s="122"/>
      <c r="JE100" s="122"/>
      <c r="JF100" s="122"/>
      <c r="JG100" s="122"/>
      <c r="JH100" s="122"/>
      <c r="JI100" s="119">
        <f>SUM(A100:JH100)</f>
        <v>0</v>
      </c>
      <c r="JJ100" s="315"/>
      <c r="JK100" s="125"/>
      <c r="JL100" s="125">
        <f t="shared" si="3"/>
        <v>0</v>
      </c>
      <c r="JM100" s="1"/>
      <c r="JN100" s="1"/>
      <c r="JO100" s="1"/>
      <c r="JP100" s="1"/>
    </row>
    <row r="101" spans="1:276" x14ac:dyDescent="0.25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22"/>
      <c r="CA101" s="122"/>
      <c r="CB101" s="122"/>
      <c r="CC101" s="122"/>
      <c r="CD101" s="122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22"/>
      <c r="FD101" s="122"/>
      <c r="FE101" s="122"/>
      <c r="FF101" s="122"/>
      <c r="FG101" s="122"/>
      <c r="FH101" s="122"/>
      <c r="FI101" s="122"/>
      <c r="FJ101" s="122"/>
      <c r="FK101" s="122"/>
      <c r="FL101" s="122"/>
      <c r="FM101" s="122"/>
      <c r="FN101" s="122"/>
      <c r="FO101" s="122"/>
      <c r="FP101" s="122"/>
      <c r="FQ101" s="122"/>
      <c r="FR101" s="122"/>
      <c r="FS101" s="122"/>
      <c r="FT101" s="122"/>
      <c r="FU101" s="122"/>
      <c r="FV101" s="122"/>
      <c r="FW101" s="122"/>
      <c r="FX101" s="122"/>
      <c r="FY101" s="122"/>
      <c r="FZ101" s="122"/>
      <c r="GA101" s="122"/>
      <c r="GB101" s="122"/>
      <c r="GC101" s="122"/>
      <c r="GD101" s="122"/>
      <c r="GE101" s="122"/>
      <c r="GF101" s="122"/>
      <c r="GG101" s="122"/>
      <c r="GH101" s="122"/>
      <c r="GI101" s="122"/>
      <c r="GJ101" s="122"/>
      <c r="GK101" s="122"/>
      <c r="GL101" s="122"/>
      <c r="GM101" s="122"/>
      <c r="GN101" s="122"/>
      <c r="GO101" s="122"/>
      <c r="GP101" s="122"/>
      <c r="GQ101" s="122"/>
      <c r="GR101" s="122"/>
      <c r="GS101" s="122"/>
      <c r="GT101" s="122"/>
      <c r="GU101" s="122"/>
      <c r="GV101" s="122"/>
      <c r="GW101" s="122"/>
      <c r="GX101" s="122"/>
      <c r="GY101" s="122"/>
      <c r="GZ101" s="122"/>
      <c r="HA101" s="122"/>
      <c r="HB101" s="122"/>
      <c r="HC101" s="122"/>
      <c r="HD101" s="122"/>
      <c r="HE101" s="122"/>
      <c r="HF101" s="122"/>
      <c r="HG101" s="122"/>
      <c r="HH101" s="122"/>
      <c r="HI101" s="122"/>
      <c r="HJ101" s="122"/>
      <c r="HK101" s="122"/>
      <c r="HL101" s="122"/>
      <c r="HM101" s="122"/>
      <c r="HN101" s="122"/>
      <c r="HO101" s="122"/>
      <c r="HP101" s="122"/>
      <c r="HQ101" s="122"/>
      <c r="HR101" s="122"/>
      <c r="HS101" s="122"/>
      <c r="HT101" s="122"/>
      <c r="HU101" s="122"/>
      <c r="HV101" s="122"/>
      <c r="HW101" s="122"/>
      <c r="HX101" s="122"/>
      <c r="HY101" s="122"/>
      <c r="HZ101" s="122"/>
      <c r="IA101" s="122"/>
      <c r="IB101" s="122"/>
      <c r="IC101" s="122"/>
      <c r="ID101" s="122"/>
      <c r="IE101" s="122"/>
      <c r="IF101" s="122"/>
      <c r="IG101" s="122"/>
      <c r="IH101" s="122"/>
      <c r="II101" s="122"/>
      <c r="IJ101" s="122"/>
      <c r="IK101" s="122"/>
      <c r="IL101" s="122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  <c r="IW101" s="122"/>
      <c r="IX101" s="122"/>
      <c r="IY101" s="122"/>
      <c r="IZ101" s="122"/>
      <c r="JA101" s="122"/>
      <c r="JB101" s="122"/>
      <c r="JC101" s="122"/>
      <c r="JD101" s="122"/>
      <c r="JE101" s="122"/>
      <c r="JF101" s="122"/>
      <c r="JG101" s="122"/>
      <c r="JH101" s="122"/>
      <c r="JI101" s="119">
        <f t="shared" ref="JI101:JI123" si="4">SUM(A101:JH101)</f>
        <v>0</v>
      </c>
      <c r="JJ101" s="315"/>
      <c r="JK101" s="125"/>
      <c r="JL101" s="125">
        <f t="shared" si="3"/>
        <v>0</v>
      </c>
      <c r="JM101" s="1"/>
      <c r="JN101" s="1"/>
      <c r="JO101" s="1"/>
      <c r="JP101" s="1"/>
    </row>
    <row r="102" spans="1:276" x14ac:dyDescent="0.25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22"/>
      <c r="CA102" s="122"/>
      <c r="CB102" s="122"/>
      <c r="CC102" s="122"/>
      <c r="CD102" s="122"/>
      <c r="CE102" s="122"/>
      <c r="CF102" s="122"/>
      <c r="CG102" s="122"/>
      <c r="CH102" s="122"/>
      <c r="CI102" s="122"/>
      <c r="CJ102" s="122"/>
      <c r="CK102" s="122"/>
      <c r="CL102" s="122"/>
      <c r="CM102" s="122"/>
      <c r="CN102" s="122"/>
      <c r="CO102" s="122"/>
      <c r="CP102" s="122"/>
      <c r="CQ102" s="122"/>
      <c r="CR102" s="122"/>
      <c r="CS102" s="122"/>
      <c r="CT102" s="122"/>
      <c r="CU102" s="122"/>
      <c r="CV102" s="122"/>
      <c r="CW102" s="122"/>
      <c r="CX102" s="122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/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22"/>
      <c r="FD102" s="122"/>
      <c r="FE102" s="122"/>
      <c r="FF102" s="122"/>
      <c r="FG102" s="122"/>
      <c r="FH102" s="122"/>
      <c r="FI102" s="122"/>
      <c r="FJ102" s="122"/>
      <c r="FK102" s="122"/>
      <c r="FL102" s="122"/>
      <c r="FM102" s="122"/>
      <c r="FN102" s="122"/>
      <c r="FO102" s="122"/>
      <c r="FP102" s="122"/>
      <c r="FQ102" s="122"/>
      <c r="FR102" s="122"/>
      <c r="FS102" s="122"/>
      <c r="FT102" s="122"/>
      <c r="FU102" s="122"/>
      <c r="FV102" s="122"/>
      <c r="FW102" s="122"/>
      <c r="FX102" s="122"/>
      <c r="FY102" s="122"/>
      <c r="FZ102" s="122"/>
      <c r="GA102" s="122"/>
      <c r="GB102" s="122"/>
      <c r="GC102" s="122"/>
      <c r="GD102" s="122"/>
      <c r="GE102" s="122"/>
      <c r="GF102" s="122"/>
      <c r="GG102" s="122"/>
      <c r="GH102" s="122"/>
      <c r="GI102" s="122"/>
      <c r="GJ102" s="122"/>
      <c r="GK102" s="122"/>
      <c r="GL102" s="122"/>
      <c r="GM102" s="122"/>
      <c r="GN102" s="122"/>
      <c r="GO102" s="122"/>
      <c r="GP102" s="122"/>
      <c r="GQ102" s="122"/>
      <c r="GR102" s="122"/>
      <c r="GS102" s="122"/>
      <c r="GT102" s="122"/>
      <c r="GU102" s="122"/>
      <c r="GV102" s="122"/>
      <c r="GW102" s="122"/>
      <c r="GX102" s="122"/>
      <c r="GY102" s="122"/>
      <c r="GZ102" s="122"/>
      <c r="HA102" s="122"/>
      <c r="HB102" s="122"/>
      <c r="HC102" s="122"/>
      <c r="HD102" s="122"/>
      <c r="HE102" s="122"/>
      <c r="HF102" s="122"/>
      <c r="HG102" s="122"/>
      <c r="HH102" s="122"/>
      <c r="HI102" s="122"/>
      <c r="HJ102" s="122"/>
      <c r="HK102" s="122"/>
      <c r="HL102" s="122"/>
      <c r="HM102" s="122"/>
      <c r="HN102" s="122"/>
      <c r="HO102" s="122"/>
      <c r="HP102" s="122"/>
      <c r="HQ102" s="122"/>
      <c r="HR102" s="122"/>
      <c r="HS102" s="122"/>
      <c r="HT102" s="122"/>
      <c r="HU102" s="122"/>
      <c r="HV102" s="122"/>
      <c r="HW102" s="122"/>
      <c r="HX102" s="122"/>
      <c r="HY102" s="122"/>
      <c r="HZ102" s="122"/>
      <c r="IA102" s="122"/>
      <c r="IB102" s="122"/>
      <c r="IC102" s="122"/>
      <c r="ID102" s="122"/>
      <c r="IE102" s="122"/>
      <c r="IF102" s="122"/>
      <c r="IG102" s="122"/>
      <c r="IH102" s="122"/>
      <c r="II102" s="122"/>
      <c r="IJ102" s="122"/>
      <c r="IK102" s="122"/>
      <c r="IL102" s="122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122"/>
      <c r="JB102" s="122"/>
      <c r="JC102" s="122"/>
      <c r="JD102" s="122"/>
      <c r="JE102" s="122"/>
      <c r="JF102" s="122"/>
      <c r="JG102" s="122"/>
      <c r="JH102" s="122"/>
      <c r="JI102" s="119">
        <f t="shared" si="4"/>
        <v>0</v>
      </c>
      <c r="JJ102" s="315"/>
      <c r="JK102" s="125"/>
      <c r="JL102" s="125">
        <f t="shared" si="3"/>
        <v>0</v>
      </c>
      <c r="JM102" s="1"/>
      <c r="JN102" s="1"/>
      <c r="JO102" s="1"/>
      <c r="JP102" s="1"/>
    </row>
    <row r="103" spans="1:276" x14ac:dyDescent="0.25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22"/>
      <c r="CA103" s="122"/>
      <c r="CB103" s="122"/>
      <c r="CC103" s="122"/>
      <c r="CD103" s="122"/>
      <c r="CE103" s="122"/>
      <c r="CF103" s="122"/>
      <c r="CG103" s="122"/>
      <c r="CH103" s="122"/>
      <c r="CI103" s="122"/>
      <c r="CJ103" s="122"/>
      <c r="CK103" s="122"/>
      <c r="CL103" s="122"/>
      <c r="CM103" s="122"/>
      <c r="CN103" s="122"/>
      <c r="CO103" s="122"/>
      <c r="CP103" s="122"/>
      <c r="CQ103" s="122"/>
      <c r="CR103" s="122"/>
      <c r="CS103" s="122"/>
      <c r="CT103" s="122"/>
      <c r="CU103" s="122"/>
      <c r="CV103" s="122"/>
      <c r="CW103" s="122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/>
      <c r="FR103" s="122"/>
      <c r="FS103" s="122"/>
      <c r="FT103" s="122"/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  <c r="GJ103" s="122"/>
      <c r="GK103" s="122"/>
      <c r="GL103" s="122"/>
      <c r="GM103" s="122"/>
      <c r="GN103" s="122"/>
      <c r="GO103" s="122"/>
      <c r="GP103" s="122"/>
      <c r="GQ103" s="122"/>
      <c r="GR103" s="122"/>
      <c r="GS103" s="122"/>
      <c r="GT103" s="122"/>
      <c r="GU103" s="122"/>
      <c r="GV103" s="122"/>
      <c r="GW103" s="122"/>
      <c r="GX103" s="122"/>
      <c r="GY103" s="122"/>
      <c r="GZ103" s="122"/>
      <c r="HA103" s="122"/>
      <c r="HB103" s="122"/>
      <c r="HC103" s="122"/>
      <c r="HD103" s="122"/>
      <c r="HE103" s="122"/>
      <c r="HF103" s="122"/>
      <c r="HG103" s="122"/>
      <c r="HH103" s="122"/>
      <c r="HI103" s="122"/>
      <c r="HJ103" s="122"/>
      <c r="HK103" s="122"/>
      <c r="HL103" s="122"/>
      <c r="HM103" s="122"/>
      <c r="HN103" s="122"/>
      <c r="HO103" s="122"/>
      <c r="HP103" s="122"/>
      <c r="HQ103" s="122"/>
      <c r="HR103" s="122"/>
      <c r="HS103" s="122"/>
      <c r="HT103" s="122"/>
      <c r="HU103" s="122"/>
      <c r="HV103" s="122"/>
      <c r="HW103" s="122"/>
      <c r="HX103" s="122"/>
      <c r="HY103" s="122"/>
      <c r="HZ103" s="122"/>
      <c r="IA103" s="122"/>
      <c r="IB103" s="122"/>
      <c r="IC103" s="122"/>
      <c r="ID103" s="122"/>
      <c r="IE103" s="122"/>
      <c r="IF103" s="122"/>
      <c r="IG103" s="122"/>
      <c r="IH103" s="122"/>
      <c r="II103" s="122"/>
      <c r="IJ103" s="122"/>
      <c r="IK103" s="122"/>
      <c r="IL103" s="122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122"/>
      <c r="JB103" s="122"/>
      <c r="JC103" s="122"/>
      <c r="JD103" s="122"/>
      <c r="JE103" s="122"/>
      <c r="JF103" s="122"/>
      <c r="JG103" s="122"/>
      <c r="JH103" s="122"/>
      <c r="JI103" s="119">
        <f t="shared" si="4"/>
        <v>0</v>
      </c>
      <c r="JJ103" s="315"/>
      <c r="JK103" s="125"/>
      <c r="JL103" s="125">
        <f t="shared" si="3"/>
        <v>0</v>
      </c>
      <c r="JM103" s="1"/>
      <c r="JN103" s="1"/>
      <c r="JO103" s="1"/>
      <c r="JP103" s="1"/>
    </row>
    <row r="104" spans="1:276" x14ac:dyDescent="0.25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22"/>
      <c r="CA104" s="122"/>
      <c r="CB104" s="122"/>
      <c r="CC104" s="122"/>
      <c r="CD104" s="122"/>
      <c r="CE104" s="122"/>
      <c r="CF104" s="122"/>
      <c r="CG104" s="122"/>
      <c r="CH104" s="122"/>
      <c r="CI104" s="122"/>
      <c r="CJ104" s="122"/>
      <c r="CK104" s="122"/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/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22"/>
      <c r="FD104" s="122"/>
      <c r="FE104" s="122"/>
      <c r="FF104" s="122"/>
      <c r="FG104" s="122"/>
      <c r="FH104" s="122"/>
      <c r="FI104" s="122"/>
      <c r="FJ104" s="122"/>
      <c r="FK104" s="122"/>
      <c r="FL104" s="122"/>
      <c r="FM104" s="122"/>
      <c r="FN104" s="122"/>
      <c r="FO104" s="122"/>
      <c r="FP104" s="122"/>
      <c r="FQ104" s="122"/>
      <c r="FR104" s="122"/>
      <c r="FS104" s="122"/>
      <c r="FT104" s="122"/>
      <c r="FU104" s="122"/>
      <c r="FV104" s="122"/>
      <c r="FW104" s="122"/>
      <c r="FX104" s="122"/>
      <c r="FY104" s="122"/>
      <c r="FZ104" s="122"/>
      <c r="GA104" s="122"/>
      <c r="GB104" s="122"/>
      <c r="GC104" s="122"/>
      <c r="GD104" s="122"/>
      <c r="GE104" s="122"/>
      <c r="GF104" s="122"/>
      <c r="GG104" s="122"/>
      <c r="GH104" s="122"/>
      <c r="GI104" s="122"/>
      <c r="GJ104" s="122"/>
      <c r="GK104" s="122"/>
      <c r="GL104" s="122"/>
      <c r="GM104" s="122"/>
      <c r="GN104" s="122"/>
      <c r="GO104" s="122"/>
      <c r="GP104" s="122"/>
      <c r="GQ104" s="122"/>
      <c r="GR104" s="122"/>
      <c r="GS104" s="122"/>
      <c r="GT104" s="122"/>
      <c r="GU104" s="122"/>
      <c r="GV104" s="122"/>
      <c r="GW104" s="122"/>
      <c r="GX104" s="122"/>
      <c r="GY104" s="122"/>
      <c r="GZ104" s="122"/>
      <c r="HA104" s="122"/>
      <c r="HB104" s="122"/>
      <c r="HC104" s="122"/>
      <c r="HD104" s="122"/>
      <c r="HE104" s="122"/>
      <c r="HF104" s="122"/>
      <c r="HG104" s="122"/>
      <c r="HH104" s="122"/>
      <c r="HI104" s="122"/>
      <c r="HJ104" s="122"/>
      <c r="HK104" s="122"/>
      <c r="HL104" s="122"/>
      <c r="HM104" s="122"/>
      <c r="HN104" s="122"/>
      <c r="HO104" s="122"/>
      <c r="HP104" s="122"/>
      <c r="HQ104" s="122"/>
      <c r="HR104" s="122"/>
      <c r="HS104" s="122"/>
      <c r="HT104" s="122"/>
      <c r="HU104" s="122"/>
      <c r="HV104" s="122"/>
      <c r="HW104" s="122"/>
      <c r="HX104" s="122"/>
      <c r="HY104" s="122"/>
      <c r="HZ104" s="122"/>
      <c r="IA104" s="122"/>
      <c r="IB104" s="122"/>
      <c r="IC104" s="122"/>
      <c r="ID104" s="122"/>
      <c r="IE104" s="122"/>
      <c r="IF104" s="122"/>
      <c r="IG104" s="122"/>
      <c r="IH104" s="122"/>
      <c r="II104" s="122"/>
      <c r="IJ104" s="122"/>
      <c r="IK104" s="122"/>
      <c r="IL104" s="122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122"/>
      <c r="JB104" s="122"/>
      <c r="JC104" s="122"/>
      <c r="JD104" s="122"/>
      <c r="JE104" s="122"/>
      <c r="JF104" s="122"/>
      <c r="JG104" s="122"/>
      <c r="JH104" s="122"/>
      <c r="JI104" s="119">
        <f t="shared" si="4"/>
        <v>0</v>
      </c>
      <c r="JJ104" s="315"/>
      <c r="JK104" s="125"/>
      <c r="JL104" s="125">
        <f t="shared" si="3"/>
        <v>0</v>
      </c>
      <c r="JM104" s="1"/>
      <c r="JN104" s="1"/>
      <c r="JO104" s="1"/>
      <c r="JP104" s="1"/>
    </row>
    <row r="105" spans="1:276" x14ac:dyDescent="0.2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22"/>
      <c r="BZ105" s="122"/>
      <c r="CA105" s="122"/>
      <c r="CB105" s="122"/>
      <c r="CC105" s="122"/>
      <c r="CD105" s="122"/>
      <c r="CE105" s="122"/>
      <c r="CF105" s="122"/>
      <c r="CG105" s="122"/>
      <c r="CH105" s="122"/>
      <c r="CI105" s="122"/>
      <c r="CJ105" s="122"/>
      <c r="CK105" s="122"/>
      <c r="CL105" s="122"/>
      <c r="CM105" s="122"/>
      <c r="CN105" s="122"/>
      <c r="CO105" s="122"/>
      <c r="CP105" s="122"/>
      <c r="CQ105" s="122"/>
      <c r="CR105" s="122"/>
      <c r="CS105" s="122"/>
      <c r="CT105" s="122"/>
      <c r="CU105" s="122"/>
      <c r="CV105" s="122"/>
      <c r="CW105" s="122"/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  <c r="EM105" s="122"/>
      <c r="EN105" s="122"/>
      <c r="EO105" s="122"/>
      <c r="EP105" s="122"/>
      <c r="EQ105" s="122"/>
      <c r="ER105" s="122"/>
      <c r="ES105" s="122"/>
      <c r="ET105" s="122"/>
      <c r="EU105" s="122"/>
      <c r="EV105" s="122"/>
      <c r="EW105" s="122"/>
      <c r="EX105" s="122"/>
      <c r="EY105" s="122"/>
      <c r="EZ105" s="122"/>
      <c r="FA105" s="122"/>
      <c r="FB105" s="122"/>
      <c r="FC105" s="122"/>
      <c r="FD105" s="122"/>
      <c r="FE105" s="122"/>
      <c r="FF105" s="122"/>
      <c r="FG105" s="122"/>
      <c r="FH105" s="122"/>
      <c r="FI105" s="122"/>
      <c r="FJ105" s="122"/>
      <c r="FK105" s="122"/>
      <c r="FL105" s="122"/>
      <c r="FM105" s="122"/>
      <c r="FN105" s="122"/>
      <c r="FO105" s="122"/>
      <c r="FP105" s="122"/>
      <c r="FQ105" s="122"/>
      <c r="FR105" s="122"/>
      <c r="FS105" s="122"/>
      <c r="FT105" s="122"/>
      <c r="FU105" s="122"/>
      <c r="FV105" s="122"/>
      <c r="FW105" s="122"/>
      <c r="FX105" s="122"/>
      <c r="FY105" s="122"/>
      <c r="FZ105" s="122"/>
      <c r="GA105" s="122"/>
      <c r="GB105" s="122"/>
      <c r="GC105" s="122"/>
      <c r="GD105" s="122"/>
      <c r="GE105" s="122"/>
      <c r="GF105" s="122"/>
      <c r="GG105" s="122"/>
      <c r="GH105" s="122"/>
      <c r="GI105" s="122"/>
      <c r="GJ105" s="122"/>
      <c r="GK105" s="122"/>
      <c r="GL105" s="122"/>
      <c r="GM105" s="122"/>
      <c r="GN105" s="122"/>
      <c r="GO105" s="122"/>
      <c r="GP105" s="122"/>
      <c r="GQ105" s="122"/>
      <c r="GR105" s="122"/>
      <c r="GS105" s="122"/>
      <c r="GT105" s="122"/>
      <c r="GU105" s="122"/>
      <c r="GV105" s="122"/>
      <c r="GW105" s="122"/>
      <c r="GX105" s="122"/>
      <c r="GY105" s="122"/>
      <c r="GZ105" s="122"/>
      <c r="HA105" s="122"/>
      <c r="HB105" s="122"/>
      <c r="HC105" s="122"/>
      <c r="HD105" s="122"/>
      <c r="HE105" s="122"/>
      <c r="HF105" s="122"/>
      <c r="HG105" s="122"/>
      <c r="HH105" s="122"/>
      <c r="HI105" s="122"/>
      <c r="HJ105" s="122"/>
      <c r="HK105" s="122"/>
      <c r="HL105" s="122"/>
      <c r="HM105" s="122"/>
      <c r="HN105" s="122"/>
      <c r="HO105" s="122"/>
      <c r="HP105" s="122"/>
      <c r="HQ105" s="122"/>
      <c r="HR105" s="122"/>
      <c r="HS105" s="122"/>
      <c r="HT105" s="122"/>
      <c r="HU105" s="122"/>
      <c r="HV105" s="122"/>
      <c r="HW105" s="122"/>
      <c r="HX105" s="122"/>
      <c r="HY105" s="122"/>
      <c r="HZ105" s="122"/>
      <c r="IA105" s="122"/>
      <c r="IB105" s="122"/>
      <c r="IC105" s="122"/>
      <c r="ID105" s="122"/>
      <c r="IE105" s="122"/>
      <c r="IF105" s="122"/>
      <c r="IG105" s="122"/>
      <c r="IH105" s="122"/>
      <c r="II105" s="122"/>
      <c r="IJ105" s="122"/>
      <c r="IK105" s="122"/>
      <c r="IL105" s="122"/>
      <c r="IM105" s="122"/>
      <c r="IN105" s="122"/>
      <c r="IO105" s="122"/>
      <c r="IP105" s="122"/>
      <c r="IQ105" s="122"/>
      <c r="IR105" s="122"/>
      <c r="IS105" s="122"/>
      <c r="IT105" s="122"/>
      <c r="IU105" s="122"/>
      <c r="IV105" s="122"/>
      <c r="IW105" s="122"/>
      <c r="IX105" s="122"/>
      <c r="IY105" s="122"/>
      <c r="IZ105" s="122"/>
      <c r="JA105" s="122"/>
      <c r="JB105" s="122"/>
      <c r="JC105" s="122"/>
      <c r="JD105" s="122"/>
      <c r="JE105" s="122"/>
      <c r="JF105" s="122"/>
      <c r="JG105" s="122"/>
      <c r="JH105" s="122"/>
      <c r="JI105" s="119">
        <f t="shared" si="4"/>
        <v>0</v>
      </c>
      <c r="JJ105" s="315"/>
      <c r="JK105" s="125"/>
      <c r="JL105" s="125">
        <f t="shared" si="3"/>
        <v>0</v>
      </c>
      <c r="JM105" s="1"/>
      <c r="JN105" s="1"/>
      <c r="JO105" s="1"/>
      <c r="JP105" s="1"/>
    </row>
    <row r="106" spans="1:276" x14ac:dyDescent="0.25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22"/>
      <c r="BS106" s="122"/>
      <c r="BT106" s="122"/>
      <c r="BU106" s="122"/>
      <c r="BV106" s="122"/>
      <c r="BW106" s="122"/>
      <c r="BX106" s="122"/>
      <c r="BY106" s="122"/>
      <c r="BZ106" s="122"/>
      <c r="CA106" s="122"/>
      <c r="CB106" s="122"/>
      <c r="CC106" s="122"/>
      <c r="CD106" s="122"/>
      <c r="CE106" s="122"/>
      <c r="CF106" s="122"/>
      <c r="CG106" s="122"/>
      <c r="CH106" s="122"/>
      <c r="CI106" s="122"/>
      <c r="CJ106" s="122"/>
      <c r="CK106" s="122"/>
      <c r="CL106" s="122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/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  <c r="EM106" s="122"/>
      <c r="EN106" s="122"/>
      <c r="EO106" s="122"/>
      <c r="EP106" s="122"/>
      <c r="EQ106" s="122"/>
      <c r="ER106" s="122"/>
      <c r="ES106" s="122"/>
      <c r="ET106" s="122"/>
      <c r="EU106" s="122"/>
      <c r="EV106" s="122"/>
      <c r="EW106" s="122"/>
      <c r="EX106" s="122"/>
      <c r="EY106" s="122"/>
      <c r="EZ106" s="122"/>
      <c r="FA106" s="122"/>
      <c r="FB106" s="122"/>
      <c r="FC106" s="122"/>
      <c r="FD106" s="122"/>
      <c r="FE106" s="122"/>
      <c r="FF106" s="122"/>
      <c r="FG106" s="122"/>
      <c r="FH106" s="122"/>
      <c r="FI106" s="122"/>
      <c r="FJ106" s="122"/>
      <c r="FK106" s="122"/>
      <c r="FL106" s="122"/>
      <c r="FM106" s="122"/>
      <c r="FN106" s="122"/>
      <c r="FO106" s="122"/>
      <c r="FP106" s="122"/>
      <c r="FQ106" s="122"/>
      <c r="FR106" s="122"/>
      <c r="FS106" s="122"/>
      <c r="FT106" s="122"/>
      <c r="FU106" s="122"/>
      <c r="FV106" s="122"/>
      <c r="FW106" s="122"/>
      <c r="FX106" s="122"/>
      <c r="FY106" s="122"/>
      <c r="FZ106" s="122"/>
      <c r="GA106" s="122"/>
      <c r="GB106" s="122"/>
      <c r="GC106" s="122"/>
      <c r="GD106" s="122"/>
      <c r="GE106" s="122"/>
      <c r="GF106" s="122"/>
      <c r="GG106" s="122"/>
      <c r="GH106" s="122"/>
      <c r="GI106" s="122"/>
      <c r="GJ106" s="122"/>
      <c r="GK106" s="122"/>
      <c r="GL106" s="122"/>
      <c r="GM106" s="122"/>
      <c r="GN106" s="122"/>
      <c r="GO106" s="122"/>
      <c r="GP106" s="122"/>
      <c r="GQ106" s="122"/>
      <c r="GR106" s="122"/>
      <c r="GS106" s="122"/>
      <c r="GT106" s="122"/>
      <c r="GU106" s="122"/>
      <c r="GV106" s="122"/>
      <c r="GW106" s="122"/>
      <c r="GX106" s="122"/>
      <c r="GY106" s="122"/>
      <c r="GZ106" s="122"/>
      <c r="HA106" s="122"/>
      <c r="HB106" s="122"/>
      <c r="HC106" s="122"/>
      <c r="HD106" s="122"/>
      <c r="HE106" s="122"/>
      <c r="HF106" s="122"/>
      <c r="HG106" s="122"/>
      <c r="HH106" s="122"/>
      <c r="HI106" s="122"/>
      <c r="HJ106" s="122"/>
      <c r="HK106" s="122"/>
      <c r="HL106" s="122"/>
      <c r="HM106" s="122"/>
      <c r="HN106" s="122"/>
      <c r="HO106" s="122"/>
      <c r="HP106" s="122"/>
      <c r="HQ106" s="122"/>
      <c r="HR106" s="122"/>
      <c r="HS106" s="122"/>
      <c r="HT106" s="122"/>
      <c r="HU106" s="122"/>
      <c r="HV106" s="122"/>
      <c r="HW106" s="122"/>
      <c r="HX106" s="122"/>
      <c r="HY106" s="122"/>
      <c r="HZ106" s="122"/>
      <c r="IA106" s="122"/>
      <c r="IB106" s="122"/>
      <c r="IC106" s="122"/>
      <c r="ID106" s="122"/>
      <c r="IE106" s="122"/>
      <c r="IF106" s="122"/>
      <c r="IG106" s="122"/>
      <c r="IH106" s="122"/>
      <c r="II106" s="122"/>
      <c r="IJ106" s="122"/>
      <c r="IK106" s="122"/>
      <c r="IL106" s="122"/>
      <c r="IM106" s="122"/>
      <c r="IN106" s="122"/>
      <c r="IO106" s="122"/>
      <c r="IP106" s="122"/>
      <c r="IQ106" s="122"/>
      <c r="IR106" s="122"/>
      <c r="IS106" s="122"/>
      <c r="IT106" s="122"/>
      <c r="IU106" s="122"/>
      <c r="IV106" s="122"/>
      <c r="IW106" s="122"/>
      <c r="IX106" s="122"/>
      <c r="IY106" s="122"/>
      <c r="IZ106" s="122"/>
      <c r="JA106" s="122"/>
      <c r="JB106" s="122"/>
      <c r="JC106" s="122"/>
      <c r="JD106" s="122"/>
      <c r="JE106" s="122"/>
      <c r="JF106" s="122"/>
      <c r="JG106" s="122"/>
      <c r="JH106" s="122"/>
      <c r="JI106" s="119">
        <f t="shared" si="4"/>
        <v>0</v>
      </c>
      <c r="JJ106" s="315"/>
      <c r="JK106" s="125"/>
      <c r="JL106" s="125">
        <f t="shared" si="3"/>
        <v>0</v>
      </c>
      <c r="JM106" s="1"/>
      <c r="JN106" s="1"/>
      <c r="JO106" s="1"/>
      <c r="JP106" s="1"/>
    </row>
    <row r="107" spans="1:276" x14ac:dyDescent="0.25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122"/>
      <c r="BS107" s="122"/>
      <c r="BT107" s="122"/>
      <c r="BU107" s="122"/>
      <c r="BV107" s="122"/>
      <c r="BW107" s="122"/>
      <c r="BX107" s="122"/>
      <c r="BY107" s="122"/>
      <c r="BZ107" s="122"/>
      <c r="CA107" s="122"/>
      <c r="CB107" s="122"/>
      <c r="CC107" s="122"/>
      <c r="CD107" s="122"/>
      <c r="CE107" s="122"/>
      <c r="CF107" s="122"/>
      <c r="CG107" s="122"/>
      <c r="CH107" s="122"/>
      <c r="CI107" s="122"/>
      <c r="CJ107" s="122"/>
      <c r="CK107" s="122"/>
      <c r="CL107" s="122"/>
      <c r="CM107" s="122"/>
      <c r="CN107" s="122"/>
      <c r="CO107" s="122"/>
      <c r="CP107" s="122"/>
      <c r="CQ107" s="122"/>
      <c r="CR107" s="122"/>
      <c r="CS107" s="122"/>
      <c r="CT107" s="122"/>
      <c r="CU107" s="122"/>
      <c r="CV107" s="122"/>
      <c r="CW107" s="122"/>
      <c r="CX107" s="122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  <c r="EE107" s="122"/>
      <c r="EF107" s="122"/>
      <c r="EG107" s="122"/>
      <c r="EH107" s="122"/>
      <c r="EI107" s="122"/>
      <c r="EJ107" s="122"/>
      <c r="EK107" s="122"/>
      <c r="EL107" s="122"/>
      <c r="EM107" s="122"/>
      <c r="EN107" s="122"/>
      <c r="EO107" s="122"/>
      <c r="EP107" s="122"/>
      <c r="EQ107" s="122"/>
      <c r="ER107" s="122"/>
      <c r="ES107" s="122"/>
      <c r="ET107" s="122"/>
      <c r="EU107" s="122"/>
      <c r="EV107" s="122"/>
      <c r="EW107" s="122"/>
      <c r="EX107" s="122"/>
      <c r="EY107" s="122"/>
      <c r="EZ107" s="122"/>
      <c r="FA107" s="122"/>
      <c r="FB107" s="122"/>
      <c r="FC107" s="122"/>
      <c r="FD107" s="122"/>
      <c r="FE107" s="122"/>
      <c r="FF107" s="122"/>
      <c r="FG107" s="122"/>
      <c r="FH107" s="122"/>
      <c r="FI107" s="122"/>
      <c r="FJ107" s="122"/>
      <c r="FK107" s="122"/>
      <c r="FL107" s="122"/>
      <c r="FM107" s="122"/>
      <c r="FN107" s="122"/>
      <c r="FO107" s="122"/>
      <c r="FP107" s="122"/>
      <c r="FQ107" s="122"/>
      <c r="FR107" s="122"/>
      <c r="FS107" s="122"/>
      <c r="FT107" s="122"/>
      <c r="FU107" s="122"/>
      <c r="FV107" s="122"/>
      <c r="FW107" s="122"/>
      <c r="FX107" s="122"/>
      <c r="FY107" s="122"/>
      <c r="FZ107" s="122"/>
      <c r="GA107" s="122"/>
      <c r="GB107" s="122"/>
      <c r="GC107" s="122"/>
      <c r="GD107" s="122"/>
      <c r="GE107" s="122"/>
      <c r="GF107" s="122"/>
      <c r="GG107" s="122"/>
      <c r="GH107" s="122"/>
      <c r="GI107" s="122"/>
      <c r="GJ107" s="122"/>
      <c r="GK107" s="122"/>
      <c r="GL107" s="122"/>
      <c r="GM107" s="122"/>
      <c r="GN107" s="122"/>
      <c r="GO107" s="122"/>
      <c r="GP107" s="122"/>
      <c r="GQ107" s="122"/>
      <c r="GR107" s="122"/>
      <c r="GS107" s="122"/>
      <c r="GT107" s="122"/>
      <c r="GU107" s="122"/>
      <c r="GV107" s="122"/>
      <c r="GW107" s="122"/>
      <c r="GX107" s="122"/>
      <c r="GY107" s="122"/>
      <c r="GZ107" s="122"/>
      <c r="HA107" s="122"/>
      <c r="HB107" s="122"/>
      <c r="HC107" s="122"/>
      <c r="HD107" s="122"/>
      <c r="HE107" s="122"/>
      <c r="HF107" s="122"/>
      <c r="HG107" s="122"/>
      <c r="HH107" s="122"/>
      <c r="HI107" s="122"/>
      <c r="HJ107" s="122"/>
      <c r="HK107" s="122"/>
      <c r="HL107" s="122"/>
      <c r="HM107" s="122"/>
      <c r="HN107" s="122"/>
      <c r="HO107" s="122"/>
      <c r="HP107" s="122"/>
      <c r="HQ107" s="122"/>
      <c r="HR107" s="122"/>
      <c r="HS107" s="122"/>
      <c r="HT107" s="122"/>
      <c r="HU107" s="122"/>
      <c r="HV107" s="122"/>
      <c r="HW107" s="122"/>
      <c r="HX107" s="122"/>
      <c r="HY107" s="122"/>
      <c r="HZ107" s="122"/>
      <c r="IA107" s="122"/>
      <c r="IB107" s="122"/>
      <c r="IC107" s="122"/>
      <c r="ID107" s="122"/>
      <c r="IE107" s="122"/>
      <c r="IF107" s="122"/>
      <c r="IG107" s="122"/>
      <c r="IH107" s="122"/>
      <c r="II107" s="122"/>
      <c r="IJ107" s="122"/>
      <c r="IK107" s="122"/>
      <c r="IL107" s="122"/>
      <c r="IM107" s="122"/>
      <c r="IN107" s="122"/>
      <c r="IO107" s="122"/>
      <c r="IP107" s="122"/>
      <c r="IQ107" s="122"/>
      <c r="IR107" s="122"/>
      <c r="IS107" s="122"/>
      <c r="IT107" s="122"/>
      <c r="IU107" s="122"/>
      <c r="IV107" s="122"/>
      <c r="IW107" s="122"/>
      <c r="IX107" s="122"/>
      <c r="IY107" s="122"/>
      <c r="IZ107" s="122"/>
      <c r="JA107" s="122"/>
      <c r="JB107" s="122"/>
      <c r="JC107" s="122"/>
      <c r="JD107" s="122"/>
      <c r="JE107" s="122"/>
      <c r="JF107" s="122"/>
      <c r="JG107" s="122"/>
      <c r="JH107" s="122"/>
      <c r="JI107" s="119">
        <f t="shared" si="4"/>
        <v>0</v>
      </c>
      <c r="JJ107" s="315"/>
      <c r="JK107" s="125"/>
      <c r="JL107" s="125">
        <f t="shared" si="3"/>
        <v>0</v>
      </c>
      <c r="JM107" s="1"/>
      <c r="JN107" s="1"/>
      <c r="JO107" s="1"/>
      <c r="JP107" s="1"/>
    </row>
    <row r="108" spans="1:276" x14ac:dyDescent="0.25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  <c r="BU108" s="122"/>
      <c r="BV108" s="122"/>
      <c r="BW108" s="122"/>
      <c r="BX108" s="122"/>
      <c r="BY108" s="122"/>
      <c r="BZ108" s="122"/>
      <c r="CA108" s="122"/>
      <c r="CB108" s="122"/>
      <c r="CC108" s="122"/>
      <c r="CD108" s="122"/>
      <c r="CE108" s="122"/>
      <c r="CF108" s="122"/>
      <c r="CG108" s="122"/>
      <c r="CH108" s="122"/>
      <c r="CI108" s="122"/>
      <c r="CJ108" s="122"/>
      <c r="CK108" s="122"/>
      <c r="CL108" s="122"/>
      <c r="CM108" s="122"/>
      <c r="CN108" s="122"/>
      <c r="CO108" s="122"/>
      <c r="CP108" s="122"/>
      <c r="CQ108" s="122"/>
      <c r="CR108" s="122"/>
      <c r="CS108" s="122"/>
      <c r="CT108" s="122"/>
      <c r="CU108" s="122"/>
      <c r="CV108" s="122"/>
      <c r="CW108" s="122"/>
      <c r="CX108" s="122"/>
      <c r="CY108" s="12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/>
      <c r="EB108" s="122"/>
      <c r="EC108" s="122"/>
      <c r="ED108" s="122"/>
      <c r="EE108" s="122"/>
      <c r="EF108" s="122"/>
      <c r="EG108" s="122"/>
      <c r="EH108" s="122"/>
      <c r="EI108" s="122"/>
      <c r="EJ108" s="122"/>
      <c r="EK108" s="122"/>
      <c r="EL108" s="122"/>
      <c r="EM108" s="122"/>
      <c r="EN108" s="122"/>
      <c r="EO108" s="122"/>
      <c r="EP108" s="122"/>
      <c r="EQ108" s="122"/>
      <c r="ER108" s="122"/>
      <c r="ES108" s="122"/>
      <c r="ET108" s="122"/>
      <c r="EU108" s="122"/>
      <c r="EV108" s="122"/>
      <c r="EW108" s="122"/>
      <c r="EX108" s="122"/>
      <c r="EY108" s="122"/>
      <c r="EZ108" s="122"/>
      <c r="FA108" s="122"/>
      <c r="FB108" s="122"/>
      <c r="FC108" s="122"/>
      <c r="FD108" s="122"/>
      <c r="FE108" s="122"/>
      <c r="FF108" s="122"/>
      <c r="FG108" s="122"/>
      <c r="FH108" s="122"/>
      <c r="FI108" s="122"/>
      <c r="FJ108" s="122"/>
      <c r="FK108" s="122"/>
      <c r="FL108" s="122"/>
      <c r="FM108" s="122"/>
      <c r="FN108" s="122"/>
      <c r="FO108" s="122"/>
      <c r="FP108" s="122"/>
      <c r="FQ108" s="122"/>
      <c r="FR108" s="122"/>
      <c r="FS108" s="122"/>
      <c r="FT108" s="122"/>
      <c r="FU108" s="122"/>
      <c r="FV108" s="122"/>
      <c r="FW108" s="122"/>
      <c r="FX108" s="122"/>
      <c r="FY108" s="122"/>
      <c r="FZ108" s="122"/>
      <c r="GA108" s="122"/>
      <c r="GB108" s="122"/>
      <c r="GC108" s="122"/>
      <c r="GD108" s="122"/>
      <c r="GE108" s="122"/>
      <c r="GF108" s="122"/>
      <c r="GG108" s="122"/>
      <c r="GH108" s="122"/>
      <c r="GI108" s="122"/>
      <c r="GJ108" s="122"/>
      <c r="GK108" s="122"/>
      <c r="GL108" s="122"/>
      <c r="GM108" s="122"/>
      <c r="GN108" s="122"/>
      <c r="GO108" s="122"/>
      <c r="GP108" s="122"/>
      <c r="GQ108" s="122"/>
      <c r="GR108" s="122"/>
      <c r="GS108" s="122"/>
      <c r="GT108" s="122"/>
      <c r="GU108" s="122"/>
      <c r="GV108" s="122"/>
      <c r="GW108" s="122"/>
      <c r="GX108" s="122"/>
      <c r="GY108" s="122"/>
      <c r="GZ108" s="122"/>
      <c r="HA108" s="122"/>
      <c r="HB108" s="122"/>
      <c r="HC108" s="122"/>
      <c r="HD108" s="122"/>
      <c r="HE108" s="122"/>
      <c r="HF108" s="122"/>
      <c r="HG108" s="122"/>
      <c r="HH108" s="122"/>
      <c r="HI108" s="122"/>
      <c r="HJ108" s="122"/>
      <c r="HK108" s="122"/>
      <c r="HL108" s="122"/>
      <c r="HM108" s="122"/>
      <c r="HN108" s="122"/>
      <c r="HO108" s="122"/>
      <c r="HP108" s="122"/>
      <c r="HQ108" s="122"/>
      <c r="HR108" s="122"/>
      <c r="HS108" s="122"/>
      <c r="HT108" s="122"/>
      <c r="HU108" s="122"/>
      <c r="HV108" s="122"/>
      <c r="HW108" s="122"/>
      <c r="HX108" s="122"/>
      <c r="HY108" s="122"/>
      <c r="HZ108" s="122"/>
      <c r="IA108" s="122"/>
      <c r="IB108" s="122"/>
      <c r="IC108" s="122"/>
      <c r="ID108" s="122"/>
      <c r="IE108" s="122"/>
      <c r="IF108" s="122"/>
      <c r="IG108" s="122"/>
      <c r="IH108" s="122"/>
      <c r="II108" s="122"/>
      <c r="IJ108" s="122"/>
      <c r="IK108" s="122"/>
      <c r="IL108" s="122"/>
      <c r="IM108" s="122"/>
      <c r="IN108" s="122"/>
      <c r="IO108" s="122"/>
      <c r="IP108" s="122"/>
      <c r="IQ108" s="122"/>
      <c r="IR108" s="122"/>
      <c r="IS108" s="122"/>
      <c r="IT108" s="122"/>
      <c r="IU108" s="122"/>
      <c r="IV108" s="122"/>
      <c r="IW108" s="122"/>
      <c r="IX108" s="122"/>
      <c r="IY108" s="122"/>
      <c r="IZ108" s="122"/>
      <c r="JA108" s="122"/>
      <c r="JB108" s="122"/>
      <c r="JC108" s="122"/>
      <c r="JD108" s="122"/>
      <c r="JE108" s="122"/>
      <c r="JF108" s="122"/>
      <c r="JG108" s="122"/>
      <c r="JH108" s="122"/>
      <c r="JI108" s="119">
        <f t="shared" si="4"/>
        <v>0</v>
      </c>
      <c r="JJ108" s="315"/>
      <c r="JK108" s="125"/>
      <c r="JL108" s="125">
        <f t="shared" si="3"/>
        <v>0</v>
      </c>
      <c r="JM108" s="1"/>
      <c r="JN108" s="1"/>
      <c r="JO108" s="1"/>
      <c r="JP108" s="1"/>
    </row>
    <row r="109" spans="1:276" x14ac:dyDescent="0.25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22"/>
      <c r="CC109" s="122"/>
      <c r="CD109" s="122"/>
      <c r="CE109" s="122"/>
      <c r="CF109" s="122"/>
      <c r="CG109" s="122"/>
      <c r="CH109" s="122"/>
      <c r="CI109" s="122"/>
      <c r="CJ109" s="122"/>
      <c r="CK109" s="122"/>
      <c r="CL109" s="122"/>
      <c r="CM109" s="122"/>
      <c r="CN109" s="122"/>
      <c r="CO109" s="122"/>
      <c r="CP109" s="122"/>
      <c r="CQ109" s="122"/>
      <c r="CR109" s="122"/>
      <c r="CS109" s="122"/>
      <c r="CT109" s="122"/>
      <c r="CU109" s="122"/>
      <c r="CV109" s="122"/>
      <c r="CW109" s="122"/>
      <c r="CX109" s="122"/>
      <c r="CY109" s="122"/>
      <c r="CZ109" s="122"/>
      <c r="DA109" s="122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  <c r="DW109" s="122"/>
      <c r="DX109" s="122"/>
      <c r="DY109" s="122"/>
      <c r="DZ109" s="122"/>
      <c r="EA109" s="122"/>
      <c r="EB109" s="122"/>
      <c r="EC109" s="122"/>
      <c r="ED109" s="122"/>
      <c r="EE109" s="122"/>
      <c r="EF109" s="122"/>
      <c r="EG109" s="122"/>
      <c r="EH109" s="122"/>
      <c r="EI109" s="122"/>
      <c r="EJ109" s="122"/>
      <c r="EK109" s="122"/>
      <c r="EL109" s="122"/>
      <c r="EM109" s="122"/>
      <c r="EN109" s="122"/>
      <c r="EO109" s="122"/>
      <c r="EP109" s="122"/>
      <c r="EQ109" s="122"/>
      <c r="ER109" s="122"/>
      <c r="ES109" s="122"/>
      <c r="ET109" s="122"/>
      <c r="EU109" s="122"/>
      <c r="EV109" s="122"/>
      <c r="EW109" s="122"/>
      <c r="EX109" s="122"/>
      <c r="EY109" s="122"/>
      <c r="EZ109" s="122"/>
      <c r="FA109" s="122"/>
      <c r="FB109" s="122"/>
      <c r="FC109" s="122"/>
      <c r="FD109" s="122"/>
      <c r="FE109" s="122"/>
      <c r="FF109" s="122"/>
      <c r="FG109" s="122"/>
      <c r="FH109" s="122"/>
      <c r="FI109" s="122"/>
      <c r="FJ109" s="122"/>
      <c r="FK109" s="122"/>
      <c r="FL109" s="122"/>
      <c r="FM109" s="122"/>
      <c r="FN109" s="122"/>
      <c r="FO109" s="122"/>
      <c r="FP109" s="122"/>
      <c r="FQ109" s="122"/>
      <c r="FR109" s="122"/>
      <c r="FS109" s="122"/>
      <c r="FT109" s="122"/>
      <c r="FU109" s="122"/>
      <c r="FV109" s="122"/>
      <c r="FW109" s="122"/>
      <c r="FX109" s="122"/>
      <c r="FY109" s="122"/>
      <c r="FZ109" s="122"/>
      <c r="GA109" s="122"/>
      <c r="GB109" s="122"/>
      <c r="GC109" s="122"/>
      <c r="GD109" s="122"/>
      <c r="GE109" s="122"/>
      <c r="GF109" s="122"/>
      <c r="GG109" s="122"/>
      <c r="GH109" s="122"/>
      <c r="GI109" s="122"/>
      <c r="GJ109" s="122"/>
      <c r="GK109" s="122"/>
      <c r="GL109" s="122"/>
      <c r="GM109" s="122"/>
      <c r="GN109" s="122"/>
      <c r="GO109" s="122"/>
      <c r="GP109" s="122"/>
      <c r="GQ109" s="122"/>
      <c r="GR109" s="122"/>
      <c r="GS109" s="122"/>
      <c r="GT109" s="122"/>
      <c r="GU109" s="122"/>
      <c r="GV109" s="122"/>
      <c r="GW109" s="122"/>
      <c r="GX109" s="122"/>
      <c r="GY109" s="122"/>
      <c r="GZ109" s="122"/>
      <c r="HA109" s="122"/>
      <c r="HB109" s="122"/>
      <c r="HC109" s="122"/>
      <c r="HD109" s="122"/>
      <c r="HE109" s="122"/>
      <c r="HF109" s="122"/>
      <c r="HG109" s="122"/>
      <c r="HH109" s="122"/>
      <c r="HI109" s="122"/>
      <c r="HJ109" s="122"/>
      <c r="HK109" s="122"/>
      <c r="HL109" s="122"/>
      <c r="HM109" s="122"/>
      <c r="HN109" s="122"/>
      <c r="HO109" s="122"/>
      <c r="HP109" s="122"/>
      <c r="HQ109" s="122"/>
      <c r="HR109" s="122"/>
      <c r="HS109" s="122"/>
      <c r="HT109" s="122"/>
      <c r="HU109" s="122"/>
      <c r="HV109" s="122"/>
      <c r="HW109" s="122"/>
      <c r="HX109" s="122"/>
      <c r="HY109" s="122"/>
      <c r="HZ109" s="122"/>
      <c r="IA109" s="122"/>
      <c r="IB109" s="122"/>
      <c r="IC109" s="122"/>
      <c r="ID109" s="122"/>
      <c r="IE109" s="122"/>
      <c r="IF109" s="122"/>
      <c r="IG109" s="122"/>
      <c r="IH109" s="122"/>
      <c r="II109" s="122"/>
      <c r="IJ109" s="122"/>
      <c r="IK109" s="122"/>
      <c r="IL109" s="122"/>
      <c r="IM109" s="122"/>
      <c r="IN109" s="122"/>
      <c r="IO109" s="122"/>
      <c r="IP109" s="122"/>
      <c r="IQ109" s="122"/>
      <c r="IR109" s="122"/>
      <c r="IS109" s="122"/>
      <c r="IT109" s="122"/>
      <c r="IU109" s="122"/>
      <c r="IV109" s="122"/>
      <c r="IW109" s="122"/>
      <c r="IX109" s="122"/>
      <c r="IY109" s="122"/>
      <c r="IZ109" s="122"/>
      <c r="JA109" s="122"/>
      <c r="JB109" s="122"/>
      <c r="JC109" s="122"/>
      <c r="JD109" s="122"/>
      <c r="JE109" s="122"/>
      <c r="JF109" s="122"/>
      <c r="JG109" s="122"/>
      <c r="JH109" s="122"/>
      <c r="JI109" s="119">
        <f t="shared" si="4"/>
        <v>0</v>
      </c>
      <c r="JJ109" s="315"/>
      <c r="JK109" s="125"/>
      <c r="JL109" s="125">
        <f t="shared" si="3"/>
        <v>0</v>
      </c>
      <c r="JM109" s="1"/>
      <c r="JN109" s="1"/>
      <c r="JO109" s="1"/>
      <c r="JP109" s="1"/>
    </row>
    <row r="110" spans="1:276" x14ac:dyDescent="0.25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22"/>
      <c r="BW110" s="122"/>
      <c r="BX110" s="122"/>
      <c r="BY110" s="122"/>
      <c r="BZ110" s="122"/>
      <c r="CA110" s="122"/>
      <c r="CB110" s="122"/>
      <c r="CC110" s="122"/>
      <c r="CD110" s="122"/>
      <c r="CE110" s="122"/>
      <c r="CF110" s="122"/>
      <c r="CG110" s="122"/>
      <c r="CH110" s="122"/>
      <c r="CI110" s="122"/>
      <c r="CJ110" s="122"/>
      <c r="CK110" s="122"/>
      <c r="CL110" s="122"/>
      <c r="CM110" s="122"/>
      <c r="CN110" s="122"/>
      <c r="CO110" s="122"/>
      <c r="CP110" s="122"/>
      <c r="CQ110" s="122"/>
      <c r="CR110" s="122"/>
      <c r="CS110" s="122"/>
      <c r="CT110" s="122"/>
      <c r="CU110" s="122"/>
      <c r="CV110" s="122"/>
      <c r="CW110" s="122"/>
      <c r="CX110" s="122"/>
      <c r="CY110" s="122"/>
      <c r="CZ110" s="122"/>
      <c r="DA110" s="122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  <c r="DW110" s="122"/>
      <c r="DX110" s="122"/>
      <c r="DY110" s="122"/>
      <c r="DZ110" s="122"/>
      <c r="EA110" s="122"/>
      <c r="EB110" s="122"/>
      <c r="EC110" s="122"/>
      <c r="ED110" s="122"/>
      <c r="EE110" s="122"/>
      <c r="EF110" s="122"/>
      <c r="EG110" s="122"/>
      <c r="EH110" s="122"/>
      <c r="EI110" s="122"/>
      <c r="EJ110" s="122"/>
      <c r="EK110" s="122"/>
      <c r="EL110" s="122"/>
      <c r="EM110" s="122"/>
      <c r="EN110" s="122"/>
      <c r="EO110" s="122"/>
      <c r="EP110" s="122"/>
      <c r="EQ110" s="122"/>
      <c r="ER110" s="122"/>
      <c r="ES110" s="122"/>
      <c r="ET110" s="122"/>
      <c r="EU110" s="122"/>
      <c r="EV110" s="122"/>
      <c r="EW110" s="122"/>
      <c r="EX110" s="122"/>
      <c r="EY110" s="122"/>
      <c r="EZ110" s="122"/>
      <c r="FA110" s="122"/>
      <c r="FB110" s="122"/>
      <c r="FC110" s="122"/>
      <c r="FD110" s="122"/>
      <c r="FE110" s="122"/>
      <c r="FF110" s="122"/>
      <c r="FG110" s="122"/>
      <c r="FH110" s="122"/>
      <c r="FI110" s="122"/>
      <c r="FJ110" s="122"/>
      <c r="FK110" s="122"/>
      <c r="FL110" s="122"/>
      <c r="FM110" s="122"/>
      <c r="FN110" s="122"/>
      <c r="FO110" s="122"/>
      <c r="FP110" s="122"/>
      <c r="FQ110" s="122"/>
      <c r="FR110" s="122"/>
      <c r="FS110" s="122"/>
      <c r="FT110" s="122"/>
      <c r="FU110" s="122"/>
      <c r="FV110" s="122"/>
      <c r="FW110" s="122"/>
      <c r="FX110" s="122"/>
      <c r="FY110" s="122"/>
      <c r="FZ110" s="122"/>
      <c r="GA110" s="122"/>
      <c r="GB110" s="122"/>
      <c r="GC110" s="122"/>
      <c r="GD110" s="122"/>
      <c r="GE110" s="122"/>
      <c r="GF110" s="122"/>
      <c r="GG110" s="122"/>
      <c r="GH110" s="122"/>
      <c r="GI110" s="122"/>
      <c r="GJ110" s="122"/>
      <c r="GK110" s="122"/>
      <c r="GL110" s="122"/>
      <c r="GM110" s="122"/>
      <c r="GN110" s="122"/>
      <c r="GO110" s="122"/>
      <c r="GP110" s="122"/>
      <c r="GQ110" s="122"/>
      <c r="GR110" s="122"/>
      <c r="GS110" s="122"/>
      <c r="GT110" s="122"/>
      <c r="GU110" s="122"/>
      <c r="GV110" s="122"/>
      <c r="GW110" s="122"/>
      <c r="GX110" s="122"/>
      <c r="GY110" s="122"/>
      <c r="GZ110" s="122"/>
      <c r="HA110" s="122"/>
      <c r="HB110" s="122"/>
      <c r="HC110" s="122"/>
      <c r="HD110" s="122"/>
      <c r="HE110" s="122"/>
      <c r="HF110" s="122"/>
      <c r="HG110" s="122"/>
      <c r="HH110" s="122"/>
      <c r="HI110" s="122"/>
      <c r="HJ110" s="122"/>
      <c r="HK110" s="122"/>
      <c r="HL110" s="122"/>
      <c r="HM110" s="122"/>
      <c r="HN110" s="122"/>
      <c r="HO110" s="122"/>
      <c r="HP110" s="122"/>
      <c r="HQ110" s="122"/>
      <c r="HR110" s="122"/>
      <c r="HS110" s="122"/>
      <c r="HT110" s="122"/>
      <c r="HU110" s="122"/>
      <c r="HV110" s="122"/>
      <c r="HW110" s="122"/>
      <c r="HX110" s="122"/>
      <c r="HY110" s="122"/>
      <c r="HZ110" s="122"/>
      <c r="IA110" s="122"/>
      <c r="IB110" s="122"/>
      <c r="IC110" s="122"/>
      <c r="ID110" s="122"/>
      <c r="IE110" s="122"/>
      <c r="IF110" s="122"/>
      <c r="IG110" s="122"/>
      <c r="IH110" s="122"/>
      <c r="II110" s="122"/>
      <c r="IJ110" s="122"/>
      <c r="IK110" s="122"/>
      <c r="IL110" s="122"/>
      <c r="IM110" s="122"/>
      <c r="IN110" s="122"/>
      <c r="IO110" s="122"/>
      <c r="IP110" s="122"/>
      <c r="IQ110" s="122"/>
      <c r="IR110" s="122"/>
      <c r="IS110" s="122"/>
      <c r="IT110" s="122"/>
      <c r="IU110" s="122"/>
      <c r="IV110" s="122"/>
      <c r="IW110" s="122"/>
      <c r="IX110" s="122"/>
      <c r="IY110" s="122"/>
      <c r="IZ110" s="122"/>
      <c r="JA110" s="122"/>
      <c r="JB110" s="122"/>
      <c r="JC110" s="122"/>
      <c r="JD110" s="122"/>
      <c r="JE110" s="122"/>
      <c r="JF110" s="122"/>
      <c r="JG110" s="122"/>
      <c r="JH110" s="122"/>
      <c r="JI110" s="119">
        <f t="shared" si="4"/>
        <v>0</v>
      </c>
      <c r="JJ110" s="2"/>
      <c r="JK110" s="125"/>
      <c r="JL110" s="125">
        <f t="shared" si="3"/>
        <v>0</v>
      </c>
      <c r="JM110" s="1"/>
      <c r="JN110" s="1"/>
      <c r="JO110" s="1"/>
      <c r="JP110" s="1"/>
    </row>
    <row r="111" spans="1:276" x14ac:dyDescent="0.25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22"/>
      <c r="CJ111" s="122"/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  <c r="EM111" s="122"/>
      <c r="EN111" s="122"/>
      <c r="EO111" s="122"/>
      <c r="EP111" s="122"/>
      <c r="EQ111" s="122"/>
      <c r="ER111" s="122"/>
      <c r="ES111" s="122"/>
      <c r="ET111" s="122"/>
      <c r="EU111" s="122"/>
      <c r="EV111" s="122"/>
      <c r="EW111" s="122"/>
      <c r="EX111" s="122"/>
      <c r="EY111" s="122"/>
      <c r="EZ111" s="122"/>
      <c r="FA111" s="122"/>
      <c r="FB111" s="122"/>
      <c r="FC111" s="122"/>
      <c r="FD111" s="122"/>
      <c r="FE111" s="122"/>
      <c r="FF111" s="122"/>
      <c r="FG111" s="122"/>
      <c r="FH111" s="122"/>
      <c r="FI111" s="122"/>
      <c r="FJ111" s="122"/>
      <c r="FK111" s="122"/>
      <c r="FL111" s="122"/>
      <c r="FM111" s="122"/>
      <c r="FN111" s="122"/>
      <c r="FO111" s="122"/>
      <c r="FP111" s="122"/>
      <c r="FQ111" s="122"/>
      <c r="FR111" s="122"/>
      <c r="FS111" s="122"/>
      <c r="FT111" s="122"/>
      <c r="FU111" s="122"/>
      <c r="FV111" s="122"/>
      <c r="FW111" s="122"/>
      <c r="FX111" s="122"/>
      <c r="FY111" s="122"/>
      <c r="FZ111" s="122"/>
      <c r="GA111" s="122"/>
      <c r="GB111" s="122"/>
      <c r="GC111" s="122"/>
      <c r="GD111" s="122"/>
      <c r="GE111" s="122"/>
      <c r="GF111" s="122"/>
      <c r="GG111" s="122"/>
      <c r="GH111" s="122"/>
      <c r="GI111" s="122"/>
      <c r="GJ111" s="122"/>
      <c r="GK111" s="122"/>
      <c r="GL111" s="122"/>
      <c r="GM111" s="122"/>
      <c r="GN111" s="122"/>
      <c r="GO111" s="122"/>
      <c r="GP111" s="122"/>
      <c r="GQ111" s="122"/>
      <c r="GR111" s="122"/>
      <c r="GS111" s="122"/>
      <c r="GT111" s="122"/>
      <c r="GU111" s="122"/>
      <c r="GV111" s="122"/>
      <c r="GW111" s="122"/>
      <c r="GX111" s="122"/>
      <c r="GY111" s="122"/>
      <c r="GZ111" s="122"/>
      <c r="HA111" s="122"/>
      <c r="HB111" s="122"/>
      <c r="HC111" s="122"/>
      <c r="HD111" s="122"/>
      <c r="HE111" s="122"/>
      <c r="HF111" s="122"/>
      <c r="HG111" s="122"/>
      <c r="HH111" s="122"/>
      <c r="HI111" s="122"/>
      <c r="HJ111" s="122"/>
      <c r="HK111" s="122"/>
      <c r="HL111" s="122"/>
      <c r="HM111" s="122"/>
      <c r="HN111" s="122"/>
      <c r="HO111" s="122"/>
      <c r="HP111" s="122"/>
      <c r="HQ111" s="122"/>
      <c r="HR111" s="122"/>
      <c r="HS111" s="122"/>
      <c r="HT111" s="122"/>
      <c r="HU111" s="122"/>
      <c r="HV111" s="122"/>
      <c r="HW111" s="122"/>
      <c r="HX111" s="122"/>
      <c r="HY111" s="122"/>
      <c r="HZ111" s="122"/>
      <c r="IA111" s="122"/>
      <c r="IB111" s="122"/>
      <c r="IC111" s="122"/>
      <c r="ID111" s="122"/>
      <c r="IE111" s="122"/>
      <c r="IF111" s="122"/>
      <c r="IG111" s="122"/>
      <c r="IH111" s="122"/>
      <c r="II111" s="122"/>
      <c r="IJ111" s="122"/>
      <c r="IK111" s="122"/>
      <c r="IL111" s="122"/>
      <c r="IM111" s="122"/>
      <c r="IN111" s="122"/>
      <c r="IO111" s="122"/>
      <c r="IP111" s="122"/>
      <c r="IQ111" s="122"/>
      <c r="IR111" s="122"/>
      <c r="IS111" s="122"/>
      <c r="IT111" s="122"/>
      <c r="IU111" s="122"/>
      <c r="IV111" s="122"/>
      <c r="IW111" s="122"/>
      <c r="IX111" s="122"/>
      <c r="IY111" s="122"/>
      <c r="IZ111" s="122"/>
      <c r="JA111" s="122"/>
      <c r="JB111" s="122"/>
      <c r="JC111" s="122"/>
      <c r="JD111" s="122"/>
      <c r="JE111" s="122"/>
      <c r="JF111" s="122"/>
      <c r="JG111" s="122"/>
      <c r="JH111" s="122"/>
      <c r="JI111" s="119">
        <f t="shared" si="4"/>
        <v>0</v>
      </c>
      <c r="JJ111" s="2"/>
      <c r="JK111" s="125"/>
      <c r="JL111" s="125">
        <f t="shared" si="3"/>
        <v>0</v>
      </c>
      <c r="JM111" s="1"/>
      <c r="JN111" s="1"/>
      <c r="JO111" s="1"/>
      <c r="JP111" s="1"/>
    </row>
    <row r="112" spans="1:276" x14ac:dyDescent="0.25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  <c r="BS112" s="122"/>
      <c r="BT112" s="122"/>
      <c r="BU112" s="122"/>
      <c r="BV112" s="122"/>
      <c r="BW112" s="122"/>
      <c r="BX112" s="122"/>
      <c r="BY112" s="122"/>
      <c r="BZ112" s="122"/>
      <c r="CA112" s="122"/>
      <c r="CB112" s="122"/>
      <c r="CC112" s="122"/>
      <c r="CD112" s="122"/>
      <c r="CE112" s="122"/>
      <c r="CF112" s="122"/>
      <c r="CG112" s="122"/>
      <c r="CH112" s="122"/>
      <c r="CI112" s="122"/>
      <c r="CJ112" s="122"/>
      <c r="CK112" s="122"/>
      <c r="CL112" s="122"/>
      <c r="CM112" s="122"/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/>
      <c r="CX112" s="122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  <c r="EM112" s="122"/>
      <c r="EN112" s="122"/>
      <c r="EO112" s="122"/>
      <c r="EP112" s="122"/>
      <c r="EQ112" s="122"/>
      <c r="ER112" s="122"/>
      <c r="ES112" s="122"/>
      <c r="ET112" s="122"/>
      <c r="EU112" s="122"/>
      <c r="EV112" s="122"/>
      <c r="EW112" s="122"/>
      <c r="EX112" s="122"/>
      <c r="EY112" s="122"/>
      <c r="EZ112" s="122"/>
      <c r="FA112" s="122"/>
      <c r="FB112" s="122"/>
      <c r="FC112" s="122"/>
      <c r="FD112" s="122"/>
      <c r="FE112" s="122"/>
      <c r="FF112" s="122"/>
      <c r="FG112" s="122"/>
      <c r="FH112" s="122"/>
      <c r="FI112" s="122"/>
      <c r="FJ112" s="122"/>
      <c r="FK112" s="122"/>
      <c r="FL112" s="122"/>
      <c r="FM112" s="122"/>
      <c r="FN112" s="122"/>
      <c r="FO112" s="122"/>
      <c r="FP112" s="122"/>
      <c r="FQ112" s="122"/>
      <c r="FR112" s="122"/>
      <c r="FS112" s="122"/>
      <c r="FT112" s="122"/>
      <c r="FU112" s="122"/>
      <c r="FV112" s="122"/>
      <c r="FW112" s="122"/>
      <c r="FX112" s="122"/>
      <c r="FY112" s="122"/>
      <c r="FZ112" s="122"/>
      <c r="GA112" s="122"/>
      <c r="GB112" s="122"/>
      <c r="GC112" s="122"/>
      <c r="GD112" s="122"/>
      <c r="GE112" s="122"/>
      <c r="GF112" s="122"/>
      <c r="GG112" s="122"/>
      <c r="GH112" s="122"/>
      <c r="GI112" s="122"/>
      <c r="GJ112" s="122"/>
      <c r="GK112" s="122"/>
      <c r="GL112" s="122"/>
      <c r="GM112" s="122"/>
      <c r="GN112" s="122"/>
      <c r="GO112" s="122"/>
      <c r="GP112" s="122"/>
      <c r="GQ112" s="122"/>
      <c r="GR112" s="122"/>
      <c r="GS112" s="122"/>
      <c r="GT112" s="122"/>
      <c r="GU112" s="122"/>
      <c r="GV112" s="122"/>
      <c r="GW112" s="122"/>
      <c r="GX112" s="122"/>
      <c r="GY112" s="122"/>
      <c r="GZ112" s="122"/>
      <c r="HA112" s="122"/>
      <c r="HB112" s="122"/>
      <c r="HC112" s="122"/>
      <c r="HD112" s="122"/>
      <c r="HE112" s="122"/>
      <c r="HF112" s="122"/>
      <c r="HG112" s="122"/>
      <c r="HH112" s="122"/>
      <c r="HI112" s="122"/>
      <c r="HJ112" s="122"/>
      <c r="HK112" s="122"/>
      <c r="HL112" s="122"/>
      <c r="HM112" s="122"/>
      <c r="HN112" s="122"/>
      <c r="HO112" s="122"/>
      <c r="HP112" s="122"/>
      <c r="HQ112" s="122"/>
      <c r="HR112" s="122"/>
      <c r="HS112" s="122"/>
      <c r="HT112" s="122"/>
      <c r="HU112" s="122"/>
      <c r="HV112" s="122"/>
      <c r="HW112" s="122"/>
      <c r="HX112" s="122"/>
      <c r="HY112" s="122"/>
      <c r="HZ112" s="122"/>
      <c r="IA112" s="122"/>
      <c r="IB112" s="122"/>
      <c r="IC112" s="122"/>
      <c r="ID112" s="122"/>
      <c r="IE112" s="122"/>
      <c r="IF112" s="122"/>
      <c r="IG112" s="122"/>
      <c r="IH112" s="122"/>
      <c r="II112" s="122"/>
      <c r="IJ112" s="122"/>
      <c r="IK112" s="122"/>
      <c r="IL112" s="122"/>
      <c r="IM112" s="122"/>
      <c r="IN112" s="122"/>
      <c r="IO112" s="122"/>
      <c r="IP112" s="122"/>
      <c r="IQ112" s="122"/>
      <c r="IR112" s="122"/>
      <c r="IS112" s="122"/>
      <c r="IT112" s="122"/>
      <c r="IU112" s="122"/>
      <c r="IV112" s="122"/>
      <c r="IW112" s="122"/>
      <c r="IX112" s="122"/>
      <c r="IY112" s="122"/>
      <c r="IZ112" s="122"/>
      <c r="JA112" s="122"/>
      <c r="JB112" s="122"/>
      <c r="JC112" s="122"/>
      <c r="JD112" s="122"/>
      <c r="JE112" s="122"/>
      <c r="JF112" s="122"/>
      <c r="JG112" s="122"/>
      <c r="JH112" s="122"/>
      <c r="JI112" s="119">
        <f t="shared" si="4"/>
        <v>0</v>
      </c>
      <c r="JJ112" s="2"/>
      <c r="JK112" s="125"/>
      <c r="JL112" s="125">
        <f t="shared" si="3"/>
        <v>0</v>
      </c>
      <c r="JM112" s="1"/>
      <c r="JN112" s="1"/>
      <c r="JO112" s="1"/>
      <c r="JP112" s="1"/>
    </row>
    <row r="113" spans="1:276" x14ac:dyDescent="0.25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122"/>
      <c r="BS113" s="122"/>
      <c r="BT113" s="122"/>
      <c r="BU113" s="122"/>
      <c r="BV113" s="122"/>
      <c r="BW113" s="122"/>
      <c r="BX113" s="122"/>
      <c r="BY113" s="122"/>
      <c r="BZ113" s="122"/>
      <c r="CA113" s="122"/>
      <c r="CB113" s="122"/>
      <c r="CC113" s="122"/>
      <c r="CD113" s="122"/>
      <c r="CE113" s="122"/>
      <c r="CF113" s="122"/>
      <c r="CG113" s="122"/>
      <c r="CH113" s="122"/>
      <c r="CI113" s="122"/>
      <c r="CJ113" s="122"/>
      <c r="CK113" s="122"/>
      <c r="CL113" s="122"/>
      <c r="CM113" s="122"/>
      <c r="CN113" s="122"/>
      <c r="CO113" s="122"/>
      <c r="CP113" s="122"/>
      <c r="CQ113" s="122"/>
      <c r="CR113" s="122"/>
      <c r="CS113" s="122"/>
      <c r="CT113" s="122"/>
      <c r="CU113" s="122"/>
      <c r="CV113" s="122"/>
      <c r="CW113" s="122"/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/>
      <c r="DH113" s="122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122"/>
      <c r="EF113" s="122"/>
      <c r="EG113" s="122"/>
      <c r="EH113" s="122"/>
      <c r="EI113" s="122"/>
      <c r="EJ113" s="122"/>
      <c r="EK113" s="122"/>
      <c r="EL113" s="122"/>
      <c r="EM113" s="122"/>
      <c r="EN113" s="122"/>
      <c r="EO113" s="122"/>
      <c r="EP113" s="122"/>
      <c r="EQ113" s="122"/>
      <c r="ER113" s="122"/>
      <c r="ES113" s="122"/>
      <c r="ET113" s="122"/>
      <c r="EU113" s="122"/>
      <c r="EV113" s="122"/>
      <c r="EW113" s="122"/>
      <c r="EX113" s="122"/>
      <c r="EY113" s="122"/>
      <c r="EZ113" s="122"/>
      <c r="FA113" s="122"/>
      <c r="FB113" s="122"/>
      <c r="FC113" s="122"/>
      <c r="FD113" s="122"/>
      <c r="FE113" s="122"/>
      <c r="FF113" s="122"/>
      <c r="FG113" s="122"/>
      <c r="FH113" s="122"/>
      <c r="FI113" s="122"/>
      <c r="FJ113" s="122"/>
      <c r="FK113" s="122"/>
      <c r="FL113" s="122"/>
      <c r="FM113" s="122"/>
      <c r="FN113" s="122"/>
      <c r="FO113" s="122"/>
      <c r="FP113" s="122"/>
      <c r="FQ113" s="122"/>
      <c r="FR113" s="122"/>
      <c r="FS113" s="122"/>
      <c r="FT113" s="122"/>
      <c r="FU113" s="122"/>
      <c r="FV113" s="122"/>
      <c r="FW113" s="122"/>
      <c r="FX113" s="122"/>
      <c r="FY113" s="122"/>
      <c r="FZ113" s="122"/>
      <c r="GA113" s="122"/>
      <c r="GB113" s="122"/>
      <c r="GC113" s="122"/>
      <c r="GD113" s="122"/>
      <c r="GE113" s="122"/>
      <c r="GF113" s="122"/>
      <c r="GG113" s="122"/>
      <c r="GH113" s="122"/>
      <c r="GI113" s="122"/>
      <c r="GJ113" s="122"/>
      <c r="GK113" s="122"/>
      <c r="GL113" s="122"/>
      <c r="GM113" s="122"/>
      <c r="GN113" s="122"/>
      <c r="GO113" s="122"/>
      <c r="GP113" s="122"/>
      <c r="GQ113" s="122"/>
      <c r="GR113" s="122"/>
      <c r="GS113" s="122"/>
      <c r="GT113" s="122"/>
      <c r="GU113" s="122"/>
      <c r="GV113" s="122"/>
      <c r="GW113" s="122"/>
      <c r="GX113" s="122"/>
      <c r="GY113" s="122"/>
      <c r="GZ113" s="122"/>
      <c r="HA113" s="122"/>
      <c r="HB113" s="122"/>
      <c r="HC113" s="122"/>
      <c r="HD113" s="122"/>
      <c r="HE113" s="122"/>
      <c r="HF113" s="122"/>
      <c r="HG113" s="122"/>
      <c r="HH113" s="122"/>
      <c r="HI113" s="122"/>
      <c r="HJ113" s="122"/>
      <c r="HK113" s="122"/>
      <c r="HL113" s="122"/>
      <c r="HM113" s="122"/>
      <c r="HN113" s="122"/>
      <c r="HO113" s="122"/>
      <c r="HP113" s="122"/>
      <c r="HQ113" s="122"/>
      <c r="HR113" s="122"/>
      <c r="HS113" s="122"/>
      <c r="HT113" s="122"/>
      <c r="HU113" s="122"/>
      <c r="HV113" s="122"/>
      <c r="HW113" s="122"/>
      <c r="HX113" s="122"/>
      <c r="HY113" s="122"/>
      <c r="HZ113" s="122"/>
      <c r="IA113" s="122"/>
      <c r="IB113" s="122"/>
      <c r="IC113" s="122"/>
      <c r="ID113" s="122"/>
      <c r="IE113" s="122"/>
      <c r="IF113" s="122"/>
      <c r="IG113" s="122"/>
      <c r="IH113" s="122"/>
      <c r="II113" s="122"/>
      <c r="IJ113" s="122"/>
      <c r="IK113" s="122"/>
      <c r="IL113" s="122"/>
      <c r="IM113" s="122"/>
      <c r="IN113" s="122"/>
      <c r="IO113" s="122"/>
      <c r="IP113" s="122"/>
      <c r="IQ113" s="122"/>
      <c r="IR113" s="122"/>
      <c r="IS113" s="122"/>
      <c r="IT113" s="122"/>
      <c r="IU113" s="122"/>
      <c r="IV113" s="122"/>
      <c r="IW113" s="122"/>
      <c r="IX113" s="122"/>
      <c r="IY113" s="122"/>
      <c r="IZ113" s="122"/>
      <c r="JA113" s="122"/>
      <c r="JB113" s="122"/>
      <c r="JC113" s="122"/>
      <c r="JD113" s="122"/>
      <c r="JE113" s="122"/>
      <c r="JF113" s="122"/>
      <c r="JG113" s="122"/>
      <c r="JH113" s="122"/>
      <c r="JI113" s="119">
        <f t="shared" si="4"/>
        <v>0</v>
      </c>
      <c r="JJ113" s="2"/>
      <c r="JK113" s="125"/>
      <c r="JL113" s="125">
        <f t="shared" si="3"/>
        <v>0</v>
      </c>
      <c r="JM113" s="1"/>
      <c r="JN113" s="1"/>
      <c r="JO113" s="1"/>
      <c r="JP113" s="1"/>
    </row>
    <row r="114" spans="1:276" x14ac:dyDescent="0.25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  <c r="BE114" s="122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22"/>
      <c r="BS114" s="122"/>
      <c r="BT114" s="122"/>
      <c r="BU114" s="122"/>
      <c r="BV114" s="122"/>
      <c r="BW114" s="122"/>
      <c r="BX114" s="122"/>
      <c r="BY114" s="122"/>
      <c r="BZ114" s="122"/>
      <c r="CA114" s="122"/>
      <c r="CB114" s="122"/>
      <c r="CC114" s="122"/>
      <c r="CD114" s="122"/>
      <c r="CE114" s="122"/>
      <c r="CF114" s="122"/>
      <c r="CG114" s="122"/>
      <c r="CH114" s="122"/>
      <c r="CI114" s="122"/>
      <c r="CJ114" s="122"/>
      <c r="CK114" s="122"/>
      <c r="CL114" s="122"/>
      <c r="CM114" s="122"/>
      <c r="CN114" s="122"/>
      <c r="CO114" s="122"/>
      <c r="CP114" s="122"/>
      <c r="CQ114" s="122"/>
      <c r="CR114" s="122"/>
      <c r="CS114" s="122"/>
      <c r="CT114" s="122"/>
      <c r="CU114" s="122"/>
      <c r="CV114" s="122"/>
      <c r="CW114" s="122"/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  <c r="EM114" s="122"/>
      <c r="EN114" s="122"/>
      <c r="EO114" s="122"/>
      <c r="EP114" s="122"/>
      <c r="EQ114" s="122"/>
      <c r="ER114" s="122"/>
      <c r="ES114" s="122"/>
      <c r="ET114" s="122"/>
      <c r="EU114" s="122"/>
      <c r="EV114" s="122"/>
      <c r="EW114" s="122"/>
      <c r="EX114" s="122"/>
      <c r="EY114" s="122"/>
      <c r="EZ114" s="122"/>
      <c r="FA114" s="122"/>
      <c r="FB114" s="122"/>
      <c r="FC114" s="122"/>
      <c r="FD114" s="122"/>
      <c r="FE114" s="122"/>
      <c r="FF114" s="122"/>
      <c r="FG114" s="122"/>
      <c r="FH114" s="122"/>
      <c r="FI114" s="122"/>
      <c r="FJ114" s="122"/>
      <c r="FK114" s="122"/>
      <c r="FL114" s="122"/>
      <c r="FM114" s="122"/>
      <c r="FN114" s="122"/>
      <c r="FO114" s="122"/>
      <c r="FP114" s="122"/>
      <c r="FQ114" s="122"/>
      <c r="FR114" s="122"/>
      <c r="FS114" s="122"/>
      <c r="FT114" s="122"/>
      <c r="FU114" s="122"/>
      <c r="FV114" s="122"/>
      <c r="FW114" s="122"/>
      <c r="FX114" s="122"/>
      <c r="FY114" s="122"/>
      <c r="FZ114" s="122"/>
      <c r="GA114" s="122"/>
      <c r="GB114" s="122"/>
      <c r="GC114" s="122"/>
      <c r="GD114" s="122"/>
      <c r="GE114" s="122"/>
      <c r="GF114" s="122"/>
      <c r="GG114" s="122"/>
      <c r="GH114" s="122"/>
      <c r="GI114" s="122"/>
      <c r="GJ114" s="122"/>
      <c r="GK114" s="122"/>
      <c r="GL114" s="122"/>
      <c r="GM114" s="122"/>
      <c r="GN114" s="122"/>
      <c r="GO114" s="122"/>
      <c r="GP114" s="122"/>
      <c r="GQ114" s="122"/>
      <c r="GR114" s="122"/>
      <c r="GS114" s="122"/>
      <c r="GT114" s="122"/>
      <c r="GU114" s="122"/>
      <c r="GV114" s="122"/>
      <c r="GW114" s="122"/>
      <c r="GX114" s="122"/>
      <c r="GY114" s="122"/>
      <c r="GZ114" s="122"/>
      <c r="HA114" s="122"/>
      <c r="HB114" s="122"/>
      <c r="HC114" s="122"/>
      <c r="HD114" s="122"/>
      <c r="HE114" s="122"/>
      <c r="HF114" s="122"/>
      <c r="HG114" s="122"/>
      <c r="HH114" s="122"/>
      <c r="HI114" s="122"/>
      <c r="HJ114" s="122"/>
      <c r="HK114" s="122"/>
      <c r="HL114" s="122"/>
      <c r="HM114" s="122"/>
      <c r="HN114" s="122"/>
      <c r="HO114" s="122"/>
      <c r="HP114" s="122"/>
      <c r="HQ114" s="122"/>
      <c r="HR114" s="122"/>
      <c r="HS114" s="122"/>
      <c r="HT114" s="122"/>
      <c r="HU114" s="122"/>
      <c r="HV114" s="122"/>
      <c r="HW114" s="122"/>
      <c r="HX114" s="122"/>
      <c r="HY114" s="122"/>
      <c r="HZ114" s="122"/>
      <c r="IA114" s="122"/>
      <c r="IB114" s="122"/>
      <c r="IC114" s="122"/>
      <c r="ID114" s="122"/>
      <c r="IE114" s="122"/>
      <c r="IF114" s="122"/>
      <c r="IG114" s="122"/>
      <c r="IH114" s="122"/>
      <c r="II114" s="122"/>
      <c r="IJ114" s="122"/>
      <c r="IK114" s="122"/>
      <c r="IL114" s="122"/>
      <c r="IM114" s="122"/>
      <c r="IN114" s="122"/>
      <c r="IO114" s="122"/>
      <c r="IP114" s="122"/>
      <c r="IQ114" s="122"/>
      <c r="IR114" s="122"/>
      <c r="IS114" s="122"/>
      <c r="IT114" s="122"/>
      <c r="IU114" s="122"/>
      <c r="IV114" s="122"/>
      <c r="IW114" s="122"/>
      <c r="IX114" s="122"/>
      <c r="IY114" s="122"/>
      <c r="IZ114" s="122"/>
      <c r="JA114" s="122"/>
      <c r="JB114" s="122"/>
      <c r="JC114" s="122"/>
      <c r="JD114" s="122"/>
      <c r="JE114" s="122"/>
      <c r="JF114" s="122"/>
      <c r="JG114" s="122"/>
      <c r="JH114" s="122"/>
      <c r="JI114" s="119">
        <f t="shared" si="4"/>
        <v>0</v>
      </c>
      <c r="JJ114" s="2"/>
      <c r="JK114" s="125"/>
      <c r="JL114" s="125">
        <f t="shared" si="3"/>
        <v>0</v>
      </c>
      <c r="JM114" s="1"/>
      <c r="JN114" s="1"/>
      <c r="JO114" s="1"/>
      <c r="JP114" s="1"/>
    </row>
    <row r="115" spans="1:276" x14ac:dyDescent="0.2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  <c r="BU115" s="122"/>
      <c r="BV115" s="122"/>
      <c r="BW115" s="122"/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22"/>
      <c r="CI115" s="122"/>
      <c r="CJ115" s="122"/>
      <c r="CK115" s="122"/>
      <c r="CL115" s="122"/>
      <c r="CM115" s="122"/>
      <c r="CN115" s="122"/>
      <c r="CO115" s="122"/>
      <c r="CP115" s="122"/>
      <c r="CQ115" s="122"/>
      <c r="CR115" s="122"/>
      <c r="CS115" s="122"/>
      <c r="CT115" s="122"/>
      <c r="CU115" s="122"/>
      <c r="CV115" s="122"/>
      <c r="CW115" s="122"/>
      <c r="CX115" s="122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  <c r="EO115" s="122"/>
      <c r="EP115" s="122"/>
      <c r="EQ115" s="122"/>
      <c r="ER115" s="122"/>
      <c r="ES115" s="122"/>
      <c r="ET115" s="122"/>
      <c r="EU115" s="122"/>
      <c r="EV115" s="122"/>
      <c r="EW115" s="122"/>
      <c r="EX115" s="122"/>
      <c r="EY115" s="122"/>
      <c r="EZ115" s="122"/>
      <c r="FA115" s="122"/>
      <c r="FB115" s="122"/>
      <c r="FC115" s="122"/>
      <c r="FD115" s="122"/>
      <c r="FE115" s="122"/>
      <c r="FF115" s="122"/>
      <c r="FG115" s="122"/>
      <c r="FH115" s="122"/>
      <c r="FI115" s="122"/>
      <c r="FJ115" s="122"/>
      <c r="FK115" s="122"/>
      <c r="FL115" s="122"/>
      <c r="FM115" s="122"/>
      <c r="FN115" s="122"/>
      <c r="FO115" s="122"/>
      <c r="FP115" s="122"/>
      <c r="FQ115" s="122"/>
      <c r="FR115" s="122"/>
      <c r="FS115" s="122"/>
      <c r="FT115" s="122"/>
      <c r="FU115" s="122"/>
      <c r="FV115" s="122"/>
      <c r="FW115" s="122"/>
      <c r="FX115" s="122"/>
      <c r="FY115" s="122"/>
      <c r="FZ115" s="122"/>
      <c r="GA115" s="122"/>
      <c r="GB115" s="122"/>
      <c r="GC115" s="122"/>
      <c r="GD115" s="122"/>
      <c r="GE115" s="122"/>
      <c r="GF115" s="122"/>
      <c r="GG115" s="122"/>
      <c r="GH115" s="122"/>
      <c r="GI115" s="122"/>
      <c r="GJ115" s="122"/>
      <c r="GK115" s="122"/>
      <c r="GL115" s="122"/>
      <c r="GM115" s="122"/>
      <c r="GN115" s="122"/>
      <c r="GO115" s="122"/>
      <c r="GP115" s="122"/>
      <c r="GQ115" s="122"/>
      <c r="GR115" s="122"/>
      <c r="GS115" s="122"/>
      <c r="GT115" s="122"/>
      <c r="GU115" s="122"/>
      <c r="GV115" s="122"/>
      <c r="GW115" s="122"/>
      <c r="GX115" s="122"/>
      <c r="GY115" s="122"/>
      <c r="GZ115" s="122"/>
      <c r="HA115" s="122"/>
      <c r="HB115" s="122"/>
      <c r="HC115" s="122"/>
      <c r="HD115" s="122"/>
      <c r="HE115" s="122"/>
      <c r="HF115" s="122"/>
      <c r="HG115" s="122"/>
      <c r="HH115" s="122"/>
      <c r="HI115" s="122"/>
      <c r="HJ115" s="122"/>
      <c r="HK115" s="122"/>
      <c r="HL115" s="122"/>
      <c r="HM115" s="122"/>
      <c r="HN115" s="122"/>
      <c r="HO115" s="122"/>
      <c r="HP115" s="122"/>
      <c r="HQ115" s="122"/>
      <c r="HR115" s="122"/>
      <c r="HS115" s="122"/>
      <c r="HT115" s="122"/>
      <c r="HU115" s="122"/>
      <c r="HV115" s="122"/>
      <c r="HW115" s="122"/>
      <c r="HX115" s="122"/>
      <c r="HY115" s="122"/>
      <c r="HZ115" s="122"/>
      <c r="IA115" s="122"/>
      <c r="IB115" s="122"/>
      <c r="IC115" s="122"/>
      <c r="ID115" s="122"/>
      <c r="IE115" s="122"/>
      <c r="IF115" s="122"/>
      <c r="IG115" s="122"/>
      <c r="IH115" s="122"/>
      <c r="II115" s="122"/>
      <c r="IJ115" s="122"/>
      <c r="IK115" s="122"/>
      <c r="IL115" s="122"/>
      <c r="IM115" s="122"/>
      <c r="IN115" s="122"/>
      <c r="IO115" s="122"/>
      <c r="IP115" s="122"/>
      <c r="IQ115" s="122"/>
      <c r="IR115" s="122"/>
      <c r="IS115" s="122"/>
      <c r="IT115" s="122"/>
      <c r="IU115" s="122"/>
      <c r="IV115" s="122"/>
      <c r="IW115" s="122"/>
      <c r="IX115" s="122"/>
      <c r="IY115" s="122"/>
      <c r="IZ115" s="122"/>
      <c r="JA115" s="122"/>
      <c r="JB115" s="122"/>
      <c r="JC115" s="122"/>
      <c r="JD115" s="122"/>
      <c r="JE115" s="122"/>
      <c r="JF115" s="122"/>
      <c r="JG115" s="122"/>
      <c r="JH115" s="122"/>
      <c r="JI115" s="119">
        <f t="shared" si="4"/>
        <v>0</v>
      </c>
      <c r="JJ115" s="2"/>
      <c r="JK115" s="125"/>
      <c r="JL115" s="125">
        <f t="shared" si="3"/>
        <v>0</v>
      </c>
      <c r="JM115" s="1"/>
      <c r="JN115" s="1"/>
      <c r="JO115" s="1"/>
      <c r="JP115" s="1"/>
    </row>
    <row r="116" spans="1:276" x14ac:dyDescent="0.25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22"/>
      <c r="CI116" s="122"/>
      <c r="CJ116" s="122"/>
      <c r="CK116" s="122"/>
      <c r="CL116" s="122"/>
      <c r="CM116" s="122"/>
      <c r="CN116" s="122"/>
      <c r="CO116" s="122"/>
      <c r="CP116" s="122"/>
      <c r="CQ116" s="122"/>
      <c r="CR116" s="122"/>
      <c r="CS116" s="122"/>
      <c r="CT116" s="122"/>
      <c r="CU116" s="122"/>
      <c r="CV116" s="122"/>
      <c r="CW116" s="122"/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/>
      <c r="DK116" s="122"/>
      <c r="DL116" s="122"/>
      <c r="DM116" s="122"/>
      <c r="DN116" s="122"/>
      <c r="DO116" s="122"/>
      <c r="DP116" s="122"/>
      <c r="DQ116" s="122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/>
      <c r="EB116" s="122"/>
      <c r="EC116" s="122"/>
      <c r="ED116" s="122"/>
      <c r="EE116" s="122"/>
      <c r="EF116" s="122"/>
      <c r="EG116" s="122"/>
      <c r="EH116" s="122"/>
      <c r="EI116" s="122"/>
      <c r="EJ116" s="122"/>
      <c r="EK116" s="122"/>
      <c r="EL116" s="122"/>
      <c r="EM116" s="122"/>
      <c r="EN116" s="122"/>
      <c r="EO116" s="122"/>
      <c r="EP116" s="122"/>
      <c r="EQ116" s="122"/>
      <c r="ER116" s="122"/>
      <c r="ES116" s="122"/>
      <c r="ET116" s="122"/>
      <c r="EU116" s="122"/>
      <c r="EV116" s="122"/>
      <c r="EW116" s="122"/>
      <c r="EX116" s="122"/>
      <c r="EY116" s="122"/>
      <c r="EZ116" s="122"/>
      <c r="FA116" s="122"/>
      <c r="FB116" s="122"/>
      <c r="FC116" s="122"/>
      <c r="FD116" s="122"/>
      <c r="FE116" s="122"/>
      <c r="FF116" s="122"/>
      <c r="FG116" s="122"/>
      <c r="FH116" s="122"/>
      <c r="FI116" s="122"/>
      <c r="FJ116" s="122"/>
      <c r="FK116" s="122"/>
      <c r="FL116" s="122"/>
      <c r="FM116" s="122"/>
      <c r="FN116" s="122"/>
      <c r="FO116" s="122"/>
      <c r="FP116" s="122"/>
      <c r="FQ116" s="122"/>
      <c r="FR116" s="122"/>
      <c r="FS116" s="122"/>
      <c r="FT116" s="122"/>
      <c r="FU116" s="122"/>
      <c r="FV116" s="122"/>
      <c r="FW116" s="122"/>
      <c r="FX116" s="122"/>
      <c r="FY116" s="122"/>
      <c r="FZ116" s="122"/>
      <c r="GA116" s="122"/>
      <c r="GB116" s="122"/>
      <c r="GC116" s="122"/>
      <c r="GD116" s="122"/>
      <c r="GE116" s="122"/>
      <c r="GF116" s="122"/>
      <c r="GG116" s="122"/>
      <c r="GH116" s="122"/>
      <c r="GI116" s="122"/>
      <c r="GJ116" s="122"/>
      <c r="GK116" s="122"/>
      <c r="GL116" s="122"/>
      <c r="GM116" s="122"/>
      <c r="GN116" s="122"/>
      <c r="GO116" s="122"/>
      <c r="GP116" s="122"/>
      <c r="GQ116" s="122"/>
      <c r="GR116" s="122"/>
      <c r="GS116" s="122"/>
      <c r="GT116" s="122"/>
      <c r="GU116" s="122"/>
      <c r="GV116" s="122"/>
      <c r="GW116" s="122"/>
      <c r="GX116" s="122"/>
      <c r="GY116" s="122"/>
      <c r="GZ116" s="122"/>
      <c r="HA116" s="122"/>
      <c r="HB116" s="122"/>
      <c r="HC116" s="122"/>
      <c r="HD116" s="122"/>
      <c r="HE116" s="122"/>
      <c r="HF116" s="122"/>
      <c r="HG116" s="122"/>
      <c r="HH116" s="122"/>
      <c r="HI116" s="122"/>
      <c r="HJ116" s="122"/>
      <c r="HK116" s="122"/>
      <c r="HL116" s="122"/>
      <c r="HM116" s="122"/>
      <c r="HN116" s="122"/>
      <c r="HO116" s="122"/>
      <c r="HP116" s="122"/>
      <c r="HQ116" s="122"/>
      <c r="HR116" s="122"/>
      <c r="HS116" s="122"/>
      <c r="HT116" s="122"/>
      <c r="HU116" s="122"/>
      <c r="HV116" s="122"/>
      <c r="HW116" s="122"/>
      <c r="HX116" s="122"/>
      <c r="HY116" s="122"/>
      <c r="HZ116" s="122"/>
      <c r="IA116" s="122"/>
      <c r="IB116" s="122"/>
      <c r="IC116" s="122"/>
      <c r="ID116" s="122"/>
      <c r="IE116" s="122"/>
      <c r="IF116" s="122"/>
      <c r="IG116" s="122"/>
      <c r="IH116" s="122"/>
      <c r="II116" s="122"/>
      <c r="IJ116" s="122"/>
      <c r="IK116" s="122"/>
      <c r="IL116" s="122"/>
      <c r="IM116" s="122"/>
      <c r="IN116" s="122"/>
      <c r="IO116" s="122"/>
      <c r="IP116" s="122"/>
      <c r="IQ116" s="122"/>
      <c r="IR116" s="122"/>
      <c r="IS116" s="122"/>
      <c r="IT116" s="122"/>
      <c r="IU116" s="122"/>
      <c r="IV116" s="122"/>
      <c r="IW116" s="122"/>
      <c r="IX116" s="122"/>
      <c r="IY116" s="122"/>
      <c r="IZ116" s="122"/>
      <c r="JA116" s="122"/>
      <c r="JB116" s="122"/>
      <c r="JC116" s="122"/>
      <c r="JD116" s="122"/>
      <c r="JE116" s="122"/>
      <c r="JF116" s="122"/>
      <c r="JG116" s="122"/>
      <c r="JH116" s="122"/>
      <c r="JI116" s="119">
        <f t="shared" si="4"/>
        <v>0</v>
      </c>
      <c r="JJ116" s="2"/>
      <c r="JK116" s="125"/>
      <c r="JL116" s="125">
        <f t="shared" si="3"/>
        <v>0</v>
      </c>
      <c r="JM116" s="1"/>
      <c r="JN116" s="1"/>
      <c r="JO116" s="1"/>
      <c r="JP116" s="1"/>
    </row>
    <row r="117" spans="1:276" x14ac:dyDescent="0.25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/>
      <c r="BT117" s="122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22"/>
      <c r="CJ117" s="122"/>
      <c r="CK117" s="122"/>
      <c r="CL117" s="122"/>
      <c r="CM117" s="122"/>
      <c r="CN117" s="122"/>
      <c r="CO117" s="122"/>
      <c r="CP117" s="122"/>
      <c r="CQ117" s="122"/>
      <c r="CR117" s="122"/>
      <c r="CS117" s="122"/>
      <c r="CT117" s="122"/>
      <c r="CU117" s="122"/>
      <c r="CV117" s="122"/>
      <c r="CW117" s="122"/>
      <c r="CX117" s="122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2"/>
      <c r="DI117" s="122"/>
      <c r="DJ117" s="122"/>
      <c r="DK117" s="122"/>
      <c r="DL117" s="122"/>
      <c r="DM117" s="122"/>
      <c r="DN117" s="122"/>
      <c r="DO117" s="122"/>
      <c r="DP117" s="122"/>
      <c r="DQ117" s="122"/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/>
      <c r="EB117" s="122"/>
      <c r="EC117" s="122"/>
      <c r="ED117" s="122"/>
      <c r="EE117" s="122"/>
      <c r="EF117" s="122"/>
      <c r="EG117" s="122"/>
      <c r="EH117" s="122"/>
      <c r="EI117" s="122"/>
      <c r="EJ117" s="122"/>
      <c r="EK117" s="122"/>
      <c r="EL117" s="122"/>
      <c r="EM117" s="122"/>
      <c r="EN117" s="122"/>
      <c r="EO117" s="122"/>
      <c r="EP117" s="122"/>
      <c r="EQ117" s="122"/>
      <c r="ER117" s="122"/>
      <c r="ES117" s="122"/>
      <c r="ET117" s="122"/>
      <c r="EU117" s="122"/>
      <c r="EV117" s="122"/>
      <c r="EW117" s="122"/>
      <c r="EX117" s="122"/>
      <c r="EY117" s="122"/>
      <c r="EZ117" s="122"/>
      <c r="FA117" s="122"/>
      <c r="FB117" s="122"/>
      <c r="FC117" s="122"/>
      <c r="FD117" s="122"/>
      <c r="FE117" s="122"/>
      <c r="FF117" s="122"/>
      <c r="FG117" s="122"/>
      <c r="FH117" s="122"/>
      <c r="FI117" s="122"/>
      <c r="FJ117" s="122"/>
      <c r="FK117" s="122"/>
      <c r="FL117" s="122"/>
      <c r="FM117" s="122"/>
      <c r="FN117" s="122"/>
      <c r="FO117" s="122"/>
      <c r="FP117" s="122"/>
      <c r="FQ117" s="122"/>
      <c r="FR117" s="122"/>
      <c r="FS117" s="122"/>
      <c r="FT117" s="122"/>
      <c r="FU117" s="122"/>
      <c r="FV117" s="122"/>
      <c r="FW117" s="122"/>
      <c r="FX117" s="122"/>
      <c r="FY117" s="122"/>
      <c r="FZ117" s="122"/>
      <c r="GA117" s="122"/>
      <c r="GB117" s="122"/>
      <c r="GC117" s="122"/>
      <c r="GD117" s="122"/>
      <c r="GE117" s="122"/>
      <c r="GF117" s="122"/>
      <c r="GG117" s="122"/>
      <c r="GH117" s="122"/>
      <c r="GI117" s="122"/>
      <c r="GJ117" s="122"/>
      <c r="GK117" s="122"/>
      <c r="GL117" s="122"/>
      <c r="GM117" s="122"/>
      <c r="GN117" s="122"/>
      <c r="GO117" s="122"/>
      <c r="GP117" s="122"/>
      <c r="GQ117" s="122"/>
      <c r="GR117" s="122"/>
      <c r="GS117" s="122"/>
      <c r="GT117" s="122"/>
      <c r="GU117" s="122"/>
      <c r="GV117" s="122"/>
      <c r="GW117" s="122"/>
      <c r="GX117" s="122"/>
      <c r="GY117" s="122"/>
      <c r="GZ117" s="122"/>
      <c r="HA117" s="122"/>
      <c r="HB117" s="122"/>
      <c r="HC117" s="122"/>
      <c r="HD117" s="122"/>
      <c r="HE117" s="122"/>
      <c r="HF117" s="122"/>
      <c r="HG117" s="122"/>
      <c r="HH117" s="122"/>
      <c r="HI117" s="122"/>
      <c r="HJ117" s="122"/>
      <c r="HK117" s="122"/>
      <c r="HL117" s="122"/>
      <c r="HM117" s="122"/>
      <c r="HN117" s="122"/>
      <c r="HO117" s="122"/>
      <c r="HP117" s="122"/>
      <c r="HQ117" s="122"/>
      <c r="HR117" s="122"/>
      <c r="HS117" s="122"/>
      <c r="HT117" s="122"/>
      <c r="HU117" s="122"/>
      <c r="HV117" s="122"/>
      <c r="HW117" s="122"/>
      <c r="HX117" s="122"/>
      <c r="HY117" s="122"/>
      <c r="HZ117" s="122"/>
      <c r="IA117" s="122"/>
      <c r="IB117" s="122"/>
      <c r="IC117" s="122"/>
      <c r="ID117" s="122"/>
      <c r="IE117" s="122"/>
      <c r="IF117" s="122"/>
      <c r="IG117" s="122"/>
      <c r="IH117" s="122"/>
      <c r="II117" s="122"/>
      <c r="IJ117" s="122"/>
      <c r="IK117" s="122"/>
      <c r="IL117" s="122"/>
      <c r="IM117" s="122"/>
      <c r="IN117" s="122"/>
      <c r="IO117" s="122"/>
      <c r="IP117" s="122"/>
      <c r="IQ117" s="122"/>
      <c r="IR117" s="122"/>
      <c r="IS117" s="122"/>
      <c r="IT117" s="122"/>
      <c r="IU117" s="122"/>
      <c r="IV117" s="122"/>
      <c r="IW117" s="122"/>
      <c r="IX117" s="122"/>
      <c r="IY117" s="122"/>
      <c r="IZ117" s="122"/>
      <c r="JA117" s="122"/>
      <c r="JB117" s="122"/>
      <c r="JC117" s="122"/>
      <c r="JD117" s="122"/>
      <c r="JE117" s="122"/>
      <c r="JF117" s="122"/>
      <c r="JG117" s="122"/>
      <c r="JH117" s="122"/>
      <c r="JI117" s="119">
        <f t="shared" si="4"/>
        <v>0</v>
      </c>
      <c r="JJ117" s="2"/>
      <c r="JK117" s="125"/>
      <c r="JL117" s="125">
        <f t="shared" si="3"/>
        <v>0</v>
      </c>
      <c r="JM117" s="1"/>
      <c r="JN117" s="1"/>
      <c r="JO117" s="1"/>
      <c r="JP117" s="1"/>
    </row>
    <row r="118" spans="1:276" x14ac:dyDescent="0.25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  <c r="BU118" s="122"/>
      <c r="BV118" s="122"/>
      <c r="BW118" s="122"/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22"/>
      <c r="CI118" s="122"/>
      <c r="CJ118" s="122"/>
      <c r="CK118" s="122"/>
      <c r="CL118" s="122"/>
      <c r="CM118" s="122"/>
      <c r="CN118" s="122"/>
      <c r="CO118" s="122"/>
      <c r="CP118" s="122"/>
      <c r="CQ118" s="122"/>
      <c r="CR118" s="122"/>
      <c r="CS118" s="122"/>
      <c r="CT118" s="122"/>
      <c r="CU118" s="122"/>
      <c r="CV118" s="122"/>
      <c r="CW118" s="122"/>
      <c r="CX118" s="122"/>
      <c r="CY118" s="122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  <c r="EE118" s="122"/>
      <c r="EF118" s="122"/>
      <c r="EG118" s="122"/>
      <c r="EH118" s="122"/>
      <c r="EI118" s="122"/>
      <c r="EJ118" s="122"/>
      <c r="EK118" s="122"/>
      <c r="EL118" s="122"/>
      <c r="EM118" s="122"/>
      <c r="EN118" s="122"/>
      <c r="EO118" s="122"/>
      <c r="EP118" s="122"/>
      <c r="EQ118" s="122"/>
      <c r="ER118" s="122"/>
      <c r="ES118" s="122"/>
      <c r="ET118" s="122"/>
      <c r="EU118" s="122"/>
      <c r="EV118" s="122"/>
      <c r="EW118" s="122"/>
      <c r="EX118" s="122"/>
      <c r="EY118" s="122"/>
      <c r="EZ118" s="122"/>
      <c r="FA118" s="122"/>
      <c r="FB118" s="122"/>
      <c r="FC118" s="122"/>
      <c r="FD118" s="122"/>
      <c r="FE118" s="122"/>
      <c r="FF118" s="122"/>
      <c r="FG118" s="122"/>
      <c r="FH118" s="122"/>
      <c r="FI118" s="122"/>
      <c r="FJ118" s="122"/>
      <c r="FK118" s="122"/>
      <c r="FL118" s="122"/>
      <c r="FM118" s="122"/>
      <c r="FN118" s="122"/>
      <c r="FO118" s="122"/>
      <c r="FP118" s="122"/>
      <c r="FQ118" s="122"/>
      <c r="FR118" s="122"/>
      <c r="FS118" s="122"/>
      <c r="FT118" s="122"/>
      <c r="FU118" s="122"/>
      <c r="FV118" s="122"/>
      <c r="FW118" s="122"/>
      <c r="FX118" s="122"/>
      <c r="FY118" s="122"/>
      <c r="FZ118" s="122"/>
      <c r="GA118" s="122"/>
      <c r="GB118" s="122"/>
      <c r="GC118" s="122"/>
      <c r="GD118" s="122"/>
      <c r="GE118" s="122"/>
      <c r="GF118" s="122"/>
      <c r="GG118" s="122"/>
      <c r="GH118" s="122"/>
      <c r="GI118" s="122"/>
      <c r="GJ118" s="122"/>
      <c r="GK118" s="122"/>
      <c r="GL118" s="122"/>
      <c r="GM118" s="122"/>
      <c r="GN118" s="122"/>
      <c r="GO118" s="122"/>
      <c r="GP118" s="122"/>
      <c r="GQ118" s="122"/>
      <c r="GR118" s="122"/>
      <c r="GS118" s="122"/>
      <c r="GT118" s="122"/>
      <c r="GU118" s="122"/>
      <c r="GV118" s="122"/>
      <c r="GW118" s="122"/>
      <c r="GX118" s="122"/>
      <c r="GY118" s="122"/>
      <c r="GZ118" s="122"/>
      <c r="HA118" s="122"/>
      <c r="HB118" s="122"/>
      <c r="HC118" s="122"/>
      <c r="HD118" s="122"/>
      <c r="HE118" s="122"/>
      <c r="HF118" s="122"/>
      <c r="HG118" s="122"/>
      <c r="HH118" s="122"/>
      <c r="HI118" s="122"/>
      <c r="HJ118" s="122"/>
      <c r="HK118" s="122"/>
      <c r="HL118" s="122"/>
      <c r="HM118" s="122"/>
      <c r="HN118" s="122"/>
      <c r="HO118" s="122"/>
      <c r="HP118" s="122"/>
      <c r="HQ118" s="122"/>
      <c r="HR118" s="122"/>
      <c r="HS118" s="122"/>
      <c r="HT118" s="122"/>
      <c r="HU118" s="122"/>
      <c r="HV118" s="122"/>
      <c r="HW118" s="122"/>
      <c r="HX118" s="122"/>
      <c r="HY118" s="122"/>
      <c r="HZ118" s="122"/>
      <c r="IA118" s="122"/>
      <c r="IB118" s="122"/>
      <c r="IC118" s="122"/>
      <c r="ID118" s="122"/>
      <c r="IE118" s="122"/>
      <c r="IF118" s="122"/>
      <c r="IG118" s="122"/>
      <c r="IH118" s="122"/>
      <c r="II118" s="122"/>
      <c r="IJ118" s="122"/>
      <c r="IK118" s="122"/>
      <c r="IL118" s="122"/>
      <c r="IM118" s="122"/>
      <c r="IN118" s="122"/>
      <c r="IO118" s="122"/>
      <c r="IP118" s="122"/>
      <c r="IQ118" s="122"/>
      <c r="IR118" s="122"/>
      <c r="IS118" s="122"/>
      <c r="IT118" s="122"/>
      <c r="IU118" s="122"/>
      <c r="IV118" s="122"/>
      <c r="IW118" s="122"/>
      <c r="IX118" s="122"/>
      <c r="IY118" s="122"/>
      <c r="IZ118" s="122"/>
      <c r="JA118" s="122"/>
      <c r="JB118" s="122"/>
      <c r="JC118" s="122"/>
      <c r="JD118" s="122"/>
      <c r="JE118" s="122"/>
      <c r="JF118" s="122"/>
      <c r="JG118" s="122"/>
      <c r="JH118" s="122"/>
      <c r="JI118" s="119">
        <f t="shared" si="4"/>
        <v>0</v>
      </c>
      <c r="JJ118" s="2"/>
      <c r="JK118" s="125"/>
      <c r="JL118" s="125">
        <f t="shared" si="3"/>
        <v>0</v>
      </c>
      <c r="JM118" s="1"/>
      <c r="JN118" s="1"/>
      <c r="JO118" s="1"/>
      <c r="JP118" s="1"/>
    </row>
    <row r="119" spans="1:276" x14ac:dyDescent="0.25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22"/>
      <c r="BS119" s="122"/>
      <c r="BT119" s="122"/>
      <c r="BU119" s="122"/>
      <c r="BV119" s="122"/>
      <c r="BW119" s="122"/>
      <c r="BX119" s="122"/>
      <c r="BY119" s="122"/>
      <c r="BZ119" s="122"/>
      <c r="CA119" s="122"/>
      <c r="CB119" s="122"/>
      <c r="CC119" s="122"/>
      <c r="CD119" s="122"/>
      <c r="CE119" s="122"/>
      <c r="CF119" s="122"/>
      <c r="CG119" s="122"/>
      <c r="CH119" s="122"/>
      <c r="CI119" s="122"/>
      <c r="CJ119" s="122"/>
      <c r="CK119" s="122"/>
      <c r="CL119" s="122"/>
      <c r="CM119" s="122"/>
      <c r="CN119" s="122"/>
      <c r="CO119" s="122"/>
      <c r="CP119" s="122"/>
      <c r="CQ119" s="122"/>
      <c r="CR119" s="122"/>
      <c r="CS119" s="122"/>
      <c r="CT119" s="122"/>
      <c r="CU119" s="122"/>
      <c r="CV119" s="122"/>
      <c r="CW119" s="122"/>
      <c r="CX119" s="122"/>
      <c r="CY119" s="122"/>
      <c r="CZ119" s="122"/>
      <c r="DA119" s="122"/>
      <c r="DB119" s="122"/>
      <c r="DC119" s="122"/>
      <c r="DD119" s="122"/>
      <c r="DE119" s="122"/>
      <c r="DF119" s="122"/>
      <c r="DG119" s="122"/>
      <c r="DH119" s="122"/>
      <c r="DI119" s="122"/>
      <c r="DJ119" s="122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  <c r="DW119" s="122"/>
      <c r="DX119" s="122"/>
      <c r="DY119" s="122"/>
      <c r="DZ119" s="122"/>
      <c r="EA119" s="122"/>
      <c r="EB119" s="122"/>
      <c r="EC119" s="122"/>
      <c r="ED119" s="122"/>
      <c r="EE119" s="122"/>
      <c r="EF119" s="122"/>
      <c r="EG119" s="122"/>
      <c r="EH119" s="122"/>
      <c r="EI119" s="122"/>
      <c r="EJ119" s="122"/>
      <c r="EK119" s="122"/>
      <c r="EL119" s="122"/>
      <c r="EM119" s="122"/>
      <c r="EN119" s="122"/>
      <c r="EO119" s="122"/>
      <c r="EP119" s="122"/>
      <c r="EQ119" s="122"/>
      <c r="ER119" s="122"/>
      <c r="ES119" s="122"/>
      <c r="ET119" s="122"/>
      <c r="EU119" s="122"/>
      <c r="EV119" s="122"/>
      <c r="EW119" s="122"/>
      <c r="EX119" s="122"/>
      <c r="EY119" s="122"/>
      <c r="EZ119" s="122"/>
      <c r="FA119" s="122"/>
      <c r="FB119" s="122"/>
      <c r="FC119" s="122"/>
      <c r="FD119" s="122"/>
      <c r="FE119" s="122"/>
      <c r="FF119" s="122"/>
      <c r="FG119" s="122"/>
      <c r="FH119" s="122"/>
      <c r="FI119" s="122"/>
      <c r="FJ119" s="122"/>
      <c r="FK119" s="122"/>
      <c r="FL119" s="122"/>
      <c r="FM119" s="122"/>
      <c r="FN119" s="122"/>
      <c r="FO119" s="122"/>
      <c r="FP119" s="122"/>
      <c r="FQ119" s="122"/>
      <c r="FR119" s="122"/>
      <c r="FS119" s="122"/>
      <c r="FT119" s="122"/>
      <c r="FU119" s="122"/>
      <c r="FV119" s="122"/>
      <c r="FW119" s="122"/>
      <c r="FX119" s="122"/>
      <c r="FY119" s="122"/>
      <c r="FZ119" s="122"/>
      <c r="GA119" s="122"/>
      <c r="GB119" s="122"/>
      <c r="GC119" s="122"/>
      <c r="GD119" s="122"/>
      <c r="GE119" s="122"/>
      <c r="GF119" s="122"/>
      <c r="GG119" s="122"/>
      <c r="GH119" s="122"/>
      <c r="GI119" s="122"/>
      <c r="GJ119" s="122"/>
      <c r="GK119" s="122"/>
      <c r="GL119" s="122"/>
      <c r="GM119" s="122"/>
      <c r="GN119" s="122"/>
      <c r="GO119" s="122"/>
      <c r="GP119" s="122"/>
      <c r="GQ119" s="122"/>
      <c r="GR119" s="122"/>
      <c r="GS119" s="122"/>
      <c r="GT119" s="122"/>
      <c r="GU119" s="122"/>
      <c r="GV119" s="122"/>
      <c r="GW119" s="122"/>
      <c r="GX119" s="122"/>
      <c r="GY119" s="122"/>
      <c r="GZ119" s="122"/>
      <c r="HA119" s="122"/>
      <c r="HB119" s="122"/>
      <c r="HC119" s="122"/>
      <c r="HD119" s="122"/>
      <c r="HE119" s="122"/>
      <c r="HF119" s="122"/>
      <c r="HG119" s="122"/>
      <c r="HH119" s="122"/>
      <c r="HI119" s="122"/>
      <c r="HJ119" s="122"/>
      <c r="HK119" s="122"/>
      <c r="HL119" s="122"/>
      <c r="HM119" s="122"/>
      <c r="HN119" s="122"/>
      <c r="HO119" s="122"/>
      <c r="HP119" s="122"/>
      <c r="HQ119" s="122"/>
      <c r="HR119" s="122"/>
      <c r="HS119" s="122"/>
      <c r="HT119" s="122"/>
      <c r="HU119" s="122"/>
      <c r="HV119" s="122"/>
      <c r="HW119" s="122"/>
      <c r="HX119" s="122"/>
      <c r="HY119" s="122"/>
      <c r="HZ119" s="122"/>
      <c r="IA119" s="122"/>
      <c r="IB119" s="122"/>
      <c r="IC119" s="122"/>
      <c r="ID119" s="122"/>
      <c r="IE119" s="122"/>
      <c r="IF119" s="122"/>
      <c r="IG119" s="122"/>
      <c r="IH119" s="122"/>
      <c r="II119" s="122"/>
      <c r="IJ119" s="122"/>
      <c r="IK119" s="122"/>
      <c r="IL119" s="122"/>
      <c r="IM119" s="122"/>
      <c r="IN119" s="122"/>
      <c r="IO119" s="122"/>
      <c r="IP119" s="122"/>
      <c r="IQ119" s="122"/>
      <c r="IR119" s="122"/>
      <c r="IS119" s="122"/>
      <c r="IT119" s="122"/>
      <c r="IU119" s="122"/>
      <c r="IV119" s="122"/>
      <c r="IW119" s="122"/>
      <c r="IX119" s="122"/>
      <c r="IY119" s="122"/>
      <c r="IZ119" s="122"/>
      <c r="JA119" s="122"/>
      <c r="JB119" s="122"/>
      <c r="JC119" s="122"/>
      <c r="JD119" s="122"/>
      <c r="JE119" s="122"/>
      <c r="JF119" s="122"/>
      <c r="JG119" s="122"/>
      <c r="JH119" s="122"/>
      <c r="JI119" s="119">
        <f t="shared" si="4"/>
        <v>0</v>
      </c>
      <c r="JJ119" s="2"/>
      <c r="JK119" s="125"/>
      <c r="JL119" s="125">
        <f t="shared" si="3"/>
        <v>0</v>
      </c>
      <c r="JM119" s="1"/>
      <c r="JN119" s="1"/>
      <c r="JO119" s="1"/>
      <c r="JP119" s="1"/>
    </row>
    <row r="120" spans="1:276" x14ac:dyDescent="0.25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122"/>
      <c r="BS120" s="122"/>
      <c r="BT120" s="122"/>
      <c r="BU120" s="122"/>
      <c r="BV120" s="122"/>
      <c r="BW120" s="122"/>
      <c r="BX120" s="122"/>
      <c r="BY120" s="122"/>
      <c r="BZ120" s="122"/>
      <c r="CA120" s="122"/>
      <c r="CB120" s="122"/>
      <c r="CC120" s="122"/>
      <c r="CD120" s="122"/>
      <c r="CE120" s="122"/>
      <c r="CF120" s="122"/>
      <c r="CG120" s="122"/>
      <c r="CH120" s="122"/>
      <c r="CI120" s="122"/>
      <c r="CJ120" s="122"/>
      <c r="CK120" s="122"/>
      <c r="CL120" s="122"/>
      <c r="CM120" s="122"/>
      <c r="CN120" s="122"/>
      <c r="CO120" s="122"/>
      <c r="CP120" s="122"/>
      <c r="CQ120" s="122"/>
      <c r="CR120" s="122"/>
      <c r="CS120" s="122"/>
      <c r="CT120" s="122"/>
      <c r="CU120" s="122"/>
      <c r="CV120" s="122"/>
      <c r="CW120" s="122"/>
      <c r="CX120" s="122"/>
      <c r="CY120" s="122"/>
      <c r="CZ120" s="122"/>
      <c r="DA120" s="122"/>
      <c r="DB120" s="122"/>
      <c r="DC120" s="122"/>
      <c r="DD120" s="122"/>
      <c r="DE120" s="122"/>
      <c r="DF120" s="122"/>
      <c r="DG120" s="122"/>
      <c r="DH120" s="122"/>
      <c r="DI120" s="122"/>
      <c r="DJ120" s="122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/>
      <c r="EB120" s="122"/>
      <c r="EC120" s="122"/>
      <c r="ED120" s="122"/>
      <c r="EE120" s="122"/>
      <c r="EF120" s="122"/>
      <c r="EG120" s="122"/>
      <c r="EH120" s="122"/>
      <c r="EI120" s="122"/>
      <c r="EJ120" s="122"/>
      <c r="EK120" s="122"/>
      <c r="EL120" s="122"/>
      <c r="EM120" s="122"/>
      <c r="EN120" s="122"/>
      <c r="EO120" s="122"/>
      <c r="EP120" s="122"/>
      <c r="EQ120" s="122"/>
      <c r="ER120" s="122"/>
      <c r="ES120" s="122"/>
      <c r="ET120" s="122"/>
      <c r="EU120" s="122"/>
      <c r="EV120" s="122"/>
      <c r="EW120" s="122"/>
      <c r="EX120" s="122"/>
      <c r="EY120" s="122"/>
      <c r="EZ120" s="122"/>
      <c r="FA120" s="122"/>
      <c r="FB120" s="122"/>
      <c r="FC120" s="122"/>
      <c r="FD120" s="122"/>
      <c r="FE120" s="122"/>
      <c r="FF120" s="122"/>
      <c r="FG120" s="122"/>
      <c r="FH120" s="122"/>
      <c r="FI120" s="122"/>
      <c r="FJ120" s="122"/>
      <c r="FK120" s="122"/>
      <c r="FL120" s="122"/>
      <c r="FM120" s="122"/>
      <c r="FN120" s="122"/>
      <c r="FO120" s="122"/>
      <c r="FP120" s="122"/>
      <c r="FQ120" s="122"/>
      <c r="FR120" s="122"/>
      <c r="FS120" s="122"/>
      <c r="FT120" s="122"/>
      <c r="FU120" s="122"/>
      <c r="FV120" s="122"/>
      <c r="FW120" s="122"/>
      <c r="FX120" s="122"/>
      <c r="FY120" s="122"/>
      <c r="FZ120" s="122"/>
      <c r="GA120" s="122"/>
      <c r="GB120" s="122"/>
      <c r="GC120" s="122"/>
      <c r="GD120" s="122"/>
      <c r="GE120" s="122"/>
      <c r="GF120" s="122"/>
      <c r="GG120" s="122"/>
      <c r="GH120" s="122"/>
      <c r="GI120" s="122"/>
      <c r="GJ120" s="122"/>
      <c r="GK120" s="122"/>
      <c r="GL120" s="122"/>
      <c r="GM120" s="122"/>
      <c r="GN120" s="122"/>
      <c r="GO120" s="122"/>
      <c r="GP120" s="122"/>
      <c r="GQ120" s="122"/>
      <c r="GR120" s="122"/>
      <c r="GS120" s="122"/>
      <c r="GT120" s="122"/>
      <c r="GU120" s="122"/>
      <c r="GV120" s="122"/>
      <c r="GW120" s="122"/>
      <c r="GX120" s="122"/>
      <c r="GY120" s="122"/>
      <c r="GZ120" s="122"/>
      <c r="HA120" s="122"/>
      <c r="HB120" s="122"/>
      <c r="HC120" s="122"/>
      <c r="HD120" s="122"/>
      <c r="HE120" s="122"/>
      <c r="HF120" s="122"/>
      <c r="HG120" s="122"/>
      <c r="HH120" s="122"/>
      <c r="HI120" s="122"/>
      <c r="HJ120" s="122"/>
      <c r="HK120" s="122"/>
      <c r="HL120" s="122"/>
      <c r="HM120" s="122"/>
      <c r="HN120" s="122"/>
      <c r="HO120" s="122"/>
      <c r="HP120" s="122"/>
      <c r="HQ120" s="122"/>
      <c r="HR120" s="122"/>
      <c r="HS120" s="122"/>
      <c r="HT120" s="122"/>
      <c r="HU120" s="122"/>
      <c r="HV120" s="122"/>
      <c r="HW120" s="122"/>
      <c r="HX120" s="122"/>
      <c r="HY120" s="122"/>
      <c r="HZ120" s="122"/>
      <c r="IA120" s="122"/>
      <c r="IB120" s="122"/>
      <c r="IC120" s="122"/>
      <c r="ID120" s="122"/>
      <c r="IE120" s="122"/>
      <c r="IF120" s="122"/>
      <c r="IG120" s="122"/>
      <c r="IH120" s="122"/>
      <c r="II120" s="122"/>
      <c r="IJ120" s="122"/>
      <c r="IK120" s="122"/>
      <c r="IL120" s="122"/>
      <c r="IM120" s="122"/>
      <c r="IN120" s="122"/>
      <c r="IO120" s="122"/>
      <c r="IP120" s="122"/>
      <c r="IQ120" s="122"/>
      <c r="IR120" s="122"/>
      <c r="IS120" s="122"/>
      <c r="IT120" s="122"/>
      <c r="IU120" s="122"/>
      <c r="IV120" s="122"/>
      <c r="IW120" s="122"/>
      <c r="IX120" s="122"/>
      <c r="IY120" s="122"/>
      <c r="IZ120" s="122"/>
      <c r="JA120" s="122"/>
      <c r="JB120" s="122"/>
      <c r="JC120" s="122"/>
      <c r="JD120" s="122"/>
      <c r="JE120" s="122"/>
      <c r="JF120" s="122"/>
      <c r="JG120" s="122"/>
      <c r="JH120" s="122"/>
      <c r="JI120" s="119">
        <f t="shared" si="4"/>
        <v>0</v>
      </c>
      <c r="JJ120" s="2"/>
      <c r="JK120" s="125"/>
      <c r="JL120" s="125">
        <f t="shared" si="3"/>
        <v>0</v>
      </c>
      <c r="JM120" s="1"/>
      <c r="JN120" s="1"/>
      <c r="JO120" s="1"/>
      <c r="JP120" s="1"/>
    </row>
    <row r="121" spans="1:276" x14ac:dyDescent="0.25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  <c r="BS121" s="122"/>
      <c r="BT121" s="122"/>
      <c r="BU121" s="122"/>
      <c r="BV121" s="122"/>
      <c r="BW121" s="122"/>
      <c r="BX121" s="122"/>
      <c r="BY121" s="122"/>
      <c r="BZ121" s="122"/>
      <c r="CA121" s="122"/>
      <c r="CB121" s="122"/>
      <c r="CC121" s="122"/>
      <c r="CD121" s="122"/>
      <c r="CE121" s="122"/>
      <c r="CF121" s="122"/>
      <c r="CG121" s="122"/>
      <c r="CH121" s="122"/>
      <c r="CI121" s="122"/>
      <c r="CJ121" s="122"/>
      <c r="CK121" s="122"/>
      <c r="CL121" s="122"/>
      <c r="CM121" s="122"/>
      <c r="CN121" s="122"/>
      <c r="CO121" s="122"/>
      <c r="CP121" s="122"/>
      <c r="CQ121" s="122"/>
      <c r="CR121" s="122"/>
      <c r="CS121" s="122"/>
      <c r="CT121" s="122"/>
      <c r="CU121" s="122"/>
      <c r="CV121" s="122"/>
      <c r="CW121" s="122"/>
      <c r="CX121" s="122"/>
      <c r="CY121" s="122"/>
      <c r="CZ121" s="122"/>
      <c r="DA121" s="122"/>
      <c r="DB121" s="122"/>
      <c r="DC121" s="122"/>
      <c r="DD121" s="122"/>
      <c r="DE121" s="122"/>
      <c r="DF121" s="122"/>
      <c r="DG121" s="122"/>
      <c r="DH121" s="122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/>
      <c r="EF121" s="122"/>
      <c r="EG121" s="122"/>
      <c r="EH121" s="122"/>
      <c r="EI121" s="122"/>
      <c r="EJ121" s="122"/>
      <c r="EK121" s="122"/>
      <c r="EL121" s="122"/>
      <c r="EM121" s="122"/>
      <c r="EN121" s="122"/>
      <c r="EO121" s="122"/>
      <c r="EP121" s="122"/>
      <c r="EQ121" s="122"/>
      <c r="ER121" s="122"/>
      <c r="ES121" s="122"/>
      <c r="ET121" s="122"/>
      <c r="EU121" s="122"/>
      <c r="EV121" s="122"/>
      <c r="EW121" s="122"/>
      <c r="EX121" s="122"/>
      <c r="EY121" s="122"/>
      <c r="EZ121" s="122"/>
      <c r="FA121" s="122"/>
      <c r="FB121" s="122"/>
      <c r="FC121" s="122"/>
      <c r="FD121" s="122"/>
      <c r="FE121" s="122"/>
      <c r="FF121" s="122"/>
      <c r="FG121" s="122"/>
      <c r="FH121" s="122"/>
      <c r="FI121" s="122"/>
      <c r="FJ121" s="122"/>
      <c r="FK121" s="122"/>
      <c r="FL121" s="122"/>
      <c r="FM121" s="122"/>
      <c r="FN121" s="122"/>
      <c r="FO121" s="122"/>
      <c r="FP121" s="122"/>
      <c r="FQ121" s="122"/>
      <c r="FR121" s="122"/>
      <c r="FS121" s="122"/>
      <c r="FT121" s="122"/>
      <c r="FU121" s="122"/>
      <c r="FV121" s="122"/>
      <c r="FW121" s="122"/>
      <c r="FX121" s="122"/>
      <c r="FY121" s="122"/>
      <c r="FZ121" s="122"/>
      <c r="GA121" s="122"/>
      <c r="GB121" s="122"/>
      <c r="GC121" s="122"/>
      <c r="GD121" s="122"/>
      <c r="GE121" s="122"/>
      <c r="GF121" s="122"/>
      <c r="GG121" s="122"/>
      <c r="GH121" s="122"/>
      <c r="GI121" s="122"/>
      <c r="GJ121" s="122"/>
      <c r="GK121" s="122"/>
      <c r="GL121" s="122"/>
      <c r="GM121" s="122"/>
      <c r="GN121" s="122"/>
      <c r="GO121" s="122"/>
      <c r="GP121" s="122"/>
      <c r="GQ121" s="122"/>
      <c r="GR121" s="122"/>
      <c r="GS121" s="122"/>
      <c r="GT121" s="122"/>
      <c r="GU121" s="122"/>
      <c r="GV121" s="122"/>
      <c r="GW121" s="122"/>
      <c r="GX121" s="122"/>
      <c r="GY121" s="122"/>
      <c r="GZ121" s="122"/>
      <c r="HA121" s="122"/>
      <c r="HB121" s="122"/>
      <c r="HC121" s="122"/>
      <c r="HD121" s="122"/>
      <c r="HE121" s="122"/>
      <c r="HF121" s="122"/>
      <c r="HG121" s="122"/>
      <c r="HH121" s="122"/>
      <c r="HI121" s="122"/>
      <c r="HJ121" s="122"/>
      <c r="HK121" s="122"/>
      <c r="HL121" s="122"/>
      <c r="HM121" s="122"/>
      <c r="HN121" s="122"/>
      <c r="HO121" s="122"/>
      <c r="HP121" s="122"/>
      <c r="HQ121" s="122"/>
      <c r="HR121" s="122"/>
      <c r="HS121" s="122"/>
      <c r="HT121" s="122"/>
      <c r="HU121" s="122"/>
      <c r="HV121" s="122"/>
      <c r="HW121" s="122"/>
      <c r="HX121" s="122"/>
      <c r="HY121" s="122"/>
      <c r="HZ121" s="122"/>
      <c r="IA121" s="122"/>
      <c r="IB121" s="122"/>
      <c r="IC121" s="122"/>
      <c r="ID121" s="122"/>
      <c r="IE121" s="122"/>
      <c r="IF121" s="122"/>
      <c r="IG121" s="122"/>
      <c r="IH121" s="122"/>
      <c r="II121" s="122"/>
      <c r="IJ121" s="122"/>
      <c r="IK121" s="122"/>
      <c r="IL121" s="122"/>
      <c r="IM121" s="122"/>
      <c r="IN121" s="122"/>
      <c r="IO121" s="122"/>
      <c r="IP121" s="122"/>
      <c r="IQ121" s="122"/>
      <c r="IR121" s="122"/>
      <c r="IS121" s="122"/>
      <c r="IT121" s="122"/>
      <c r="IU121" s="122"/>
      <c r="IV121" s="122"/>
      <c r="IW121" s="122"/>
      <c r="IX121" s="122"/>
      <c r="IY121" s="122"/>
      <c r="IZ121" s="122"/>
      <c r="JA121" s="122"/>
      <c r="JB121" s="122"/>
      <c r="JC121" s="122"/>
      <c r="JD121" s="122"/>
      <c r="JE121" s="122"/>
      <c r="JF121" s="122"/>
      <c r="JG121" s="122"/>
      <c r="JH121" s="122"/>
      <c r="JI121" s="119">
        <f t="shared" si="4"/>
        <v>0</v>
      </c>
      <c r="JJ121" s="2"/>
      <c r="JK121" s="125"/>
      <c r="JL121" s="125">
        <f t="shared" si="3"/>
        <v>0</v>
      </c>
      <c r="JM121" s="1"/>
      <c r="JN121" s="1"/>
      <c r="JO121" s="1"/>
      <c r="JP121" s="1"/>
    </row>
    <row r="122" spans="1:276" x14ac:dyDescent="0.25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2"/>
      <c r="BT122" s="122"/>
      <c r="BU122" s="122"/>
      <c r="BV122" s="122"/>
      <c r="BW122" s="122"/>
      <c r="BX122" s="122"/>
      <c r="BY122" s="122"/>
      <c r="BZ122" s="122"/>
      <c r="CA122" s="122"/>
      <c r="CB122" s="122"/>
      <c r="CC122" s="122"/>
      <c r="CD122" s="122"/>
      <c r="CE122" s="122"/>
      <c r="CF122" s="122"/>
      <c r="CG122" s="122"/>
      <c r="CH122" s="122"/>
      <c r="CI122" s="122"/>
      <c r="CJ122" s="122"/>
      <c r="CK122" s="122"/>
      <c r="CL122" s="122"/>
      <c r="CM122" s="122"/>
      <c r="CN122" s="122"/>
      <c r="CO122" s="122"/>
      <c r="CP122" s="122"/>
      <c r="CQ122" s="122"/>
      <c r="CR122" s="122"/>
      <c r="CS122" s="122"/>
      <c r="CT122" s="122"/>
      <c r="CU122" s="122"/>
      <c r="CV122" s="122"/>
      <c r="CW122" s="122"/>
      <c r="CX122" s="12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  <c r="EK122" s="122"/>
      <c r="EL122" s="122"/>
      <c r="EM122" s="122"/>
      <c r="EN122" s="122"/>
      <c r="EO122" s="122"/>
      <c r="EP122" s="122"/>
      <c r="EQ122" s="122"/>
      <c r="ER122" s="122"/>
      <c r="ES122" s="122"/>
      <c r="ET122" s="122"/>
      <c r="EU122" s="122"/>
      <c r="EV122" s="122"/>
      <c r="EW122" s="122"/>
      <c r="EX122" s="122"/>
      <c r="EY122" s="122"/>
      <c r="EZ122" s="122"/>
      <c r="FA122" s="122"/>
      <c r="FB122" s="122"/>
      <c r="FC122" s="122"/>
      <c r="FD122" s="122"/>
      <c r="FE122" s="122"/>
      <c r="FF122" s="122"/>
      <c r="FG122" s="122"/>
      <c r="FH122" s="122"/>
      <c r="FI122" s="122"/>
      <c r="FJ122" s="122"/>
      <c r="FK122" s="122"/>
      <c r="FL122" s="122"/>
      <c r="FM122" s="122"/>
      <c r="FN122" s="122"/>
      <c r="FO122" s="122"/>
      <c r="FP122" s="122"/>
      <c r="FQ122" s="122"/>
      <c r="FR122" s="122"/>
      <c r="FS122" s="122"/>
      <c r="FT122" s="122"/>
      <c r="FU122" s="122"/>
      <c r="FV122" s="122"/>
      <c r="FW122" s="122"/>
      <c r="FX122" s="122"/>
      <c r="FY122" s="122"/>
      <c r="FZ122" s="122"/>
      <c r="GA122" s="122"/>
      <c r="GB122" s="122"/>
      <c r="GC122" s="122"/>
      <c r="GD122" s="122"/>
      <c r="GE122" s="122"/>
      <c r="GF122" s="122"/>
      <c r="GG122" s="122"/>
      <c r="GH122" s="122"/>
      <c r="GI122" s="122"/>
      <c r="GJ122" s="122"/>
      <c r="GK122" s="122"/>
      <c r="GL122" s="122"/>
      <c r="GM122" s="122"/>
      <c r="GN122" s="122"/>
      <c r="GO122" s="122"/>
      <c r="GP122" s="122"/>
      <c r="GQ122" s="122"/>
      <c r="GR122" s="122"/>
      <c r="GS122" s="122"/>
      <c r="GT122" s="122"/>
      <c r="GU122" s="122"/>
      <c r="GV122" s="122"/>
      <c r="GW122" s="122"/>
      <c r="GX122" s="122"/>
      <c r="GY122" s="122"/>
      <c r="GZ122" s="122"/>
      <c r="HA122" s="122"/>
      <c r="HB122" s="122"/>
      <c r="HC122" s="122"/>
      <c r="HD122" s="122"/>
      <c r="HE122" s="122"/>
      <c r="HF122" s="122"/>
      <c r="HG122" s="122"/>
      <c r="HH122" s="122"/>
      <c r="HI122" s="122"/>
      <c r="HJ122" s="122"/>
      <c r="HK122" s="122"/>
      <c r="HL122" s="122"/>
      <c r="HM122" s="122"/>
      <c r="HN122" s="122"/>
      <c r="HO122" s="122"/>
      <c r="HP122" s="122"/>
      <c r="HQ122" s="122"/>
      <c r="HR122" s="122"/>
      <c r="HS122" s="122"/>
      <c r="HT122" s="122"/>
      <c r="HU122" s="122"/>
      <c r="HV122" s="122"/>
      <c r="HW122" s="122"/>
      <c r="HX122" s="122"/>
      <c r="HY122" s="122"/>
      <c r="HZ122" s="122"/>
      <c r="IA122" s="122"/>
      <c r="IB122" s="122"/>
      <c r="IC122" s="122"/>
      <c r="ID122" s="122"/>
      <c r="IE122" s="122"/>
      <c r="IF122" s="122"/>
      <c r="IG122" s="122"/>
      <c r="IH122" s="122"/>
      <c r="II122" s="122"/>
      <c r="IJ122" s="122"/>
      <c r="IK122" s="122"/>
      <c r="IL122" s="122"/>
      <c r="IM122" s="122"/>
      <c r="IN122" s="122"/>
      <c r="IO122" s="122"/>
      <c r="IP122" s="122"/>
      <c r="IQ122" s="122"/>
      <c r="IR122" s="122"/>
      <c r="IS122" s="122"/>
      <c r="IT122" s="122"/>
      <c r="IU122" s="122"/>
      <c r="IV122" s="122"/>
      <c r="IW122" s="122"/>
      <c r="IX122" s="122"/>
      <c r="IY122" s="122"/>
      <c r="IZ122" s="122"/>
      <c r="JA122" s="122"/>
      <c r="JB122" s="122"/>
      <c r="JC122" s="122"/>
      <c r="JD122" s="122"/>
      <c r="JE122" s="122"/>
      <c r="JF122" s="122"/>
      <c r="JG122" s="122"/>
      <c r="JH122" s="122"/>
      <c r="JI122" s="119">
        <f t="shared" si="4"/>
        <v>0</v>
      </c>
      <c r="JJ122" s="2"/>
      <c r="JK122" s="125"/>
      <c r="JL122" s="125">
        <f t="shared" si="3"/>
        <v>0</v>
      </c>
      <c r="JM122" s="1"/>
      <c r="JN122" s="1"/>
      <c r="JO122" s="1"/>
      <c r="JP122" s="1"/>
    </row>
    <row r="123" spans="1:276" x14ac:dyDescent="0.25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22"/>
      <c r="BS123" s="122"/>
      <c r="BT123" s="122"/>
      <c r="BU123" s="122"/>
      <c r="BV123" s="122"/>
      <c r="BW123" s="122"/>
      <c r="BX123" s="122"/>
      <c r="BY123" s="122"/>
      <c r="BZ123" s="122"/>
      <c r="CA123" s="122"/>
      <c r="CB123" s="122"/>
      <c r="CC123" s="122"/>
      <c r="CD123" s="122"/>
      <c r="CE123" s="122"/>
      <c r="CF123" s="122"/>
      <c r="CG123" s="122"/>
      <c r="CH123" s="122"/>
      <c r="CI123" s="122"/>
      <c r="CJ123" s="122"/>
      <c r="CK123" s="122"/>
      <c r="CL123" s="122"/>
      <c r="CM123" s="122"/>
      <c r="CN123" s="122"/>
      <c r="CO123" s="122"/>
      <c r="CP123" s="122"/>
      <c r="CQ123" s="122"/>
      <c r="CR123" s="122"/>
      <c r="CS123" s="122"/>
      <c r="CT123" s="122"/>
      <c r="CU123" s="122"/>
      <c r="CV123" s="122"/>
      <c r="CW123" s="122"/>
      <c r="CX123" s="122"/>
      <c r="CY123" s="12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/>
      <c r="EB123" s="122"/>
      <c r="EC123" s="122"/>
      <c r="ED123" s="122"/>
      <c r="EE123" s="122"/>
      <c r="EF123" s="122"/>
      <c r="EG123" s="122"/>
      <c r="EH123" s="122"/>
      <c r="EI123" s="122"/>
      <c r="EJ123" s="122"/>
      <c r="EK123" s="122"/>
      <c r="EL123" s="122"/>
      <c r="EM123" s="122"/>
      <c r="EN123" s="122"/>
      <c r="EO123" s="122"/>
      <c r="EP123" s="122"/>
      <c r="EQ123" s="122"/>
      <c r="ER123" s="122"/>
      <c r="ES123" s="122"/>
      <c r="ET123" s="122"/>
      <c r="EU123" s="122"/>
      <c r="EV123" s="122"/>
      <c r="EW123" s="122"/>
      <c r="EX123" s="122"/>
      <c r="EY123" s="122"/>
      <c r="EZ123" s="122"/>
      <c r="FA123" s="122"/>
      <c r="FB123" s="122"/>
      <c r="FC123" s="122"/>
      <c r="FD123" s="122"/>
      <c r="FE123" s="122"/>
      <c r="FF123" s="122"/>
      <c r="FG123" s="122"/>
      <c r="FH123" s="122"/>
      <c r="FI123" s="122"/>
      <c r="FJ123" s="122"/>
      <c r="FK123" s="122"/>
      <c r="FL123" s="122"/>
      <c r="FM123" s="122"/>
      <c r="FN123" s="122"/>
      <c r="FO123" s="122"/>
      <c r="FP123" s="122"/>
      <c r="FQ123" s="122"/>
      <c r="FR123" s="122"/>
      <c r="FS123" s="122"/>
      <c r="FT123" s="122"/>
      <c r="FU123" s="122"/>
      <c r="FV123" s="122"/>
      <c r="FW123" s="122"/>
      <c r="FX123" s="122"/>
      <c r="FY123" s="122"/>
      <c r="FZ123" s="122"/>
      <c r="GA123" s="122"/>
      <c r="GB123" s="122"/>
      <c r="GC123" s="122"/>
      <c r="GD123" s="122"/>
      <c r="GE123" s="122"/>
      <c r="GF123" s="122"/>
      <c r="GG123" s="122"/>
      <c r="GH123" s="122"/>
      <c r="GI123" s="122"/>
      <c r="GJ123" s="122"/>
      <c r="GK123" s="122"/>
      <c r="GL123" s="122"/>
      <c r="GM123" s="122"/>
      <c r="GN123" s="122"/>
      <c r="GO123" s="122"/>
      <c r="GP123" s="122"/>
      <c r="GQ123" s="122"/>
      <c r="GR123" s="122"/>
      <c r="GS123" s="122"/>
      <c r="GT123" s="122"/>
      <c r="GU123" s="122"/>
      <c r="GV123" s="122"/>
      <c r="GW123" s="122"/>
      <c r="GX123" s="122"/>
      <c r="GY123" s="122"/>
      <c r="GZ123" s="122"/>
      <c r="HA123" s="122"/>
      <c r="HB123" s="122"/>
      <c r="HC123" s="122"/>
      <c r="HD123" s="122"/>
      <c r="HE123" s="122"/>
      <c r="HF123" s="122"/>
      <c r="HG123" s="122"/>
      <c r="HH123" s="122"/>
      <c r="HI123" s="122"/>
      <c r="HJ123" s="122"/>
      <c r="HK123" s="122"/>
      <c r="HL123" s="122"/>
      <c r="HM123" s="122"/>
      <c r="HN123" s="122"/>
      <c r="HO123" s="122"/>
      <c r="HP123" s="122"/>
      <c r="HQ123" s="122"/>
      <c r="HR123" s="122"/>
      <c r="HS123" s="122"/>
      <c r="HT123" s="122"/>
      <c r="HU123" s="122"/>
      <c r="HV123" s="122"/>
      <c r="HW123" s="122"/>
      <c r="HX123" s="122"/>
      <c r="HY123" s="122"/>
      <c r="HZ123" s="122"/>
      <c r="IA123" s="122"/>
      <c r="IB123" s="122"/>
      <c r="IC123" s="122"/>
      <c r="ID123" s="122"/>
      <c r="IE123" s="122"/>
      <c r="IF123" s="122"/>
      <c r="IG123" s="122"/>
      <c r="IH123" s="122"/>
      <c r="II123" s="122"/>
      <c r="IJ123" s="122"/>
      <c r="IK123" s="122"/>
      <c r="IL123" s="122"/>
      <c r="IM123" s="122"/>
      <c r="IN123" s="122"/>
      <c r="IO123" s="122"/>
      <c r="IP123" s="122"/>
      <c r="IQ123" s="122"/>
      <c r="IR123" s="122"/>
      <c r="IS123" s="122"/>
      <c r="IT123" s="122"/>
      <c r="IU123" s="122"/>
      <c r="IV123" s="122"/>
      <c r="IW123" s="122"/>
      <c r="IX123" s="122"/>
      <c r="IY123" s="122"/>
      <c r="IZ123" s="122"/>
      <c r="JA123" s="122"/>
      <c r="JB123" s="122"/>
      <c r="JC123" s="122"/>
      <c r="JD123" s="122"/>
      <c r="JE123" s="122"/>
      <c r="JF123" s="122"/>
      <c r="JG123" s="122"/>
      <c r="JH123" s="122"/>
      <c r="JI123" s="119">
        <f t="shared" si="4"/>
        <v>0</v>
      </c>
      <c r="JJ123" s="2"/>
      <c r="JK123" s="125"/>
      <c r="JL123" s="125">
        <f t="shared" si="3"/>
        <v>0</v>
      </c>
      <c r="JM123" s="1"/>
      <c r="JN123" s="1"/>
      <c r="JO123" s="1"/>
      <c r="JP123" s="1"/>
    </row>
    <row r="124" spans="1:276" x14ac:dyDescent="0.25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22"/>
      <c r="BS124" s="122"/>
      <c r="BT124" s="122"/>
      <c r="BU124" s="122"/>
      <c r="BV124" s="122"/>
      <c r="BW124" s="122"/>
      <c r="BX124" s="122"/>
      <c r="BY124" s="122"/>
      <c r="BZ124" s="122"/>
      <c r="CA124" s="122"/>
      <c r="CB124" s="122"/>
      <c r="CC124" s="122"/>
      <c r="CD124" s="122"/>
      <c r="CE124" s="122"/>
      <c r="CF124" s="122"/>
      <c r="CG124" s="122"/>
      <c r="CH124" s="122"/>
      <c r="CI124" s="122"/>
      <c r="CJ124" s="122"/>
      <c r="CK124" s="122"/>
      <c r="CL124" s="122"/>
      <c r="CM124" s="122"/>
      <c r="CN124" s="122"/>
      <c r="CO124" s="122"/>
      <c r="CP124" s="122"/>
      <c r="CQ124" s="122"/>
      <c r="CR124" s="122"/>
      <c r="CS124" s="122"/>
      <c r="CT124" s="122"/>
      <c r="CU124" s="122"/>
      <c r="CV124" s="122"/>
      <c r="CW124" s="122"/>
      <c r="CX124" s="122"/>
      <c r="CY124" s="12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/>
      <c r="DK124" s="122"/>
      <c r="DL124" s="122"/>
      <c r="DM124" s="122"/>
      <c r="DN124" s="122"/>
      <c r="DO124" s="122"/>
      <c r="DP124" s="12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  <c r="EE124" s="122"/>
      <c r="EF124" s="122"/>
      <c r="EG124" s="122"/>
      <c r="EH124" s="122"/>
      <c r="EI124" s="122"/>
      <c r="EJ124" s="122"/>
      <c r="EK124" s="122"/>
      <c r="EL124" s="122"/>
      <c r="EM124" s="122"/>
      <c r="EN124" s="122"/>
      <c r="EO124" s="122"/>
      <c r="EP124" s="122"/>
      <c r="EQ124" s="122"/>
      <c r="ER124" s="122"/>
      <c r="ES124" s="122"/>
      <c r="ET124" s="122"/>
      <c r="EU124" s="122"/>
      <c r="EV124" s="122"/>
      <c r="EW124" s="122"/>
      <c r="EX124" s="122"/>
      <c r="EY124" s="122"/>
      <c r="EZ124" s="122"/>
      <c r="FA124" s="122"/>
      <c r="FB124" s="122"/>
      <c r="FC124" s="122"/>
      <c r="FD124" s="122"/>
      <c r="FE124" s="122"/>
      <c r="FF124" s="122"/>
      <c r="FG124" s="122"/>
      <c r="FH124" s="122"/>
      <c r="FI124" s="122"/>
      <c r="FJ124" s="122"/>
      <c r="FK124" s="122"/>
      <c r="FL124" s="122"/>
      <c r="FM124" s="122"/>
      <c r="FN124" s="122"/>
      <c r="FO124" s="122"/>
      <c r="FP124" s="122"/>
      <c r="FQ124" s="122"/>
      <c r="FR124" s="122"/>
      <c r="FS124" s="122"/>
      <c r="FT124" s="122"/>
      <c r="FU124" s="122"/>
      <c r="FV124" s="122"/>
      <c r="FW124" s="122"/>
      <c r="FX124" s="122"/>
      <c r="FY124" s="122"/>
      <c r="FZ124" s="122"/>
      <c r="GA124" s="122"/>
      <c r="GB124" s="122"/>
      <c r="GC124" s="122"/>
      <c r="GD124" s="122"/>
      <c r="GE124" s="122"/>
      <c r="GF124" s="122"/>
      <c r="GG124" s="122"/>
      <c r="GH124" s="122"/>
      <c r="GI124" s="122"/>
      <c r="GJ124" s="122"/>
      <c r="GK124" s="122"/>
      <c r="GL124" s="122"/>
      <c r="GM124" s="122"/>
      <c r="GN124" s="122"/>
      <c r="GO124" s="122"/>
      <c r="GP124" s="122"/>
      <c r="GQ124" s="122"/>
      <c r="GR124" s="122"/>
      <c r="GS124" s="122"/>
      <c r="GT124" s="122"/>
      <c r="GU124" s="122"/>
      <c r="GV124" s="122"/>
      <c r="GW124" s="122"/>
      <c r="GX124" s="122"/>
      <c r="GY124" s="122"/>
      <c r="GZ124" s="122"/>
      <c r="HA124" s="122"/>
      <c r="HB124" s="122"/>
      <c r="HC124" s="122"/>
      <c r="HD124" s="122"/>
      <c r="HE124" s="122"/>
      <c r="HF124" s="122"/>
      <c r="HG124" s="122"/>
      <c r="HH124" s="122"/>
      <c r="HI124" s="122"/>
      <c r="HJ124" s="122"/>
      <c r="HK124" s="122"/>
      <c r="HL124" s="122"/>
      <c r="HM124" s="122"/>
      <c r="HN124" s="122"/>
      <c r="HO124" s="122"/>
      <c r="HP124" s="122"/>
      <c r="HQ124" s="122"/>
      <c r="HR124" s="122"/>
      <c r="HS124" s="122"/>
      <c r="HT124" s="122"/>
      <c r="HU124" s="122"/>
      <c r="HV124" s="122"/>
      <c r="HW124" s="122"/>
      <c r="HX124" s="122"/>
      <c r="HY124" s="122"/>
      <c r="HZ124" s="122"/>
      <c r="IA124" s="122"/>
      <c r="IB124" s="122"/>
      <c r="IC124" s="122"/>
      <c r="ID124" s="122"/>
      <c r="IE124" s="122"/>
      <c r="IF124" s="122"/>
      <c r="IG124" s="122"/>
      <c r="IH124" s="122"/>
      <c r="II124" s="122"/>
      <c r="IJ124" s="122"/>
      <c r="IK124" s="122"/>
      <c r="IL124" s="122"/>
      <c r="IM124" s="122"/>
      <c r="IN124" s="122"/>
      <c r="IO124" s="122"/>
      <c r="IP124" s="122"/>
      <c r="IQ124" s="122"/>
      <c r="IR124" s="122"/>
      <c r="IS124" s="122"/>
      <c r="IT124" s="122"/>
      <c r="IU124" s="122"/>
      <c r="IV124" s="122"/>
      <c r="IW124" s="122"/>
      <c r="IX124" s="122"/>
      <c r="IY124" s="122"/>
      <c r="IZ124" s="122"/>
      <c r="JA124" s="122"/>
      <c r="JB124" s="122"/>
      <c r="JC124" s="122"/>
      <c r="JD124" s="122"/>
      <c r="JE124" s="122"/>
      <c r="JF124" s="122"/>
      <c r="JG124" s="122"/>
      <c r="JH124" s="122"/>
      <c r="JI124" s="119"/>
      <c r="JJ124" s="2"/>
      <c r="JK124" s="125"/>
      <c r="JL124" s="125"/>
      <c r="JM124" s="1"/>
      <c r="JN124" s="1"/>
      <c r="JO124" s="1"/>
      <c r="JP124" s="1"/>
    </row>
    <row r="125" spans="1:276" x14ac:dyDescent="0.25">
      <c r="A125" s="119">
        <f t="shared" ref="A125:BL125" si="5">SUM(A3:A123)</f>
        <v>53314609.399999999</v>
      </c>
      <c r="B125" s="119">
        <f t="shared" si="5"/>
        <v>0</v>
      </c>
      <c r="C125" s="119">
        <f t="shared" si="5"/>
        <v>0</v>
      </c>
      <c r="D125" s="119">
        <f t="shared" si="5"/>
        <v>0</v>
      </c>
      <c r="E125" s="119">
        <f t="shared" si="5"/>
        <v>0</v>
      </c>
      <c r="F125" s="119">
        <f t="shared" si="5"/>
        <v>0</v>
      </c>
      <c r="G125" s="119">
        <f t="shared" si="5"/>
        <v>0</v>
      </c>
      <c r="H125" s="119">
        <f t="shared" si="5"/>
        <v>0</v>
      </c>
      <c r="I125" s="119">
        <f t="shared" si="5"/>
        <v>0</v>
      </c>
      <c r="J125" s="119">
        <f t="shared" si="5"/>
        <v>1130531.03</v>
      </c>
      <c r="K125" s="119">
        <f t="shared" si="5"/>
        <v>0</v>
      </c>
      <c r="L125" s="119">
        <f t="shared" si="5"/>
        <v>0</v>
      </c>
      <c r="M125" s="119">
        <f t="shared" si="5"/>
        <v>0</v>
      </c>
      <c r="N125" s="119">
        <f t="shared" si="5"/>
        <v>0</v>
      </c>
      <c r="O125" s="119">
        <f t="shared" si="5"/>
        <v>0</v>
      </c>
      <c r="P125" s="119">
        <f t="shared" si="5"/>
        <v>0</v>
      </c>
      <c r="Q125" s="119">
        <f t="shared" si="5"/>
        <v>0</v>
      </c>
      <c r="R125" s="119">
        <f t="shared" si="5"/>
        <v>0</v>
      </c>
      <c r="S125" s="119">
        <f t="shared" si="5"/>
        <v>2723298.24</v>
      </c>
      <c r="T125" s="119">
        <f t="shared" si="5"/>
        <v>0</v>
      </c>
      <c r="U125" s="119">
        <f t="shared" si="5"/>
        <v>0</v>
      </c>
      <c r="V125" s="119">
        <f t="shared" si="5"/>
        <v>0</v>
      </c>
      <c r="W125" s="119">
        <f t="shared" si="5"/>
        <v>45000</v>
      </c>
      <c r="X125" s="119">
        <f t="shared" si="5"/>
        <v>0</v>
      </c>
      <c r="Y125" s="119">
        <f t="shared" si="5"/>
        <v>0</v>
      </c>
      <c r="Z125" s="119">
        <f t="shared" si="5"/>
        <v>334800</v>
      </c>
      <c r="AA125" s="119">
        <f t="shared" si="5"/>
        <v>443970.11</v>
      </c>
      <c r="AB125" s="119">
        <f t="shared" si="5"/>
        <v>260539.96</v>
      </c>
      <c r="AC125" s="119">
        <f t="shared" si="5"/>
        <v>0</v>
      </c>
      <c r="AD125" s="119">
        <f t="shared" si="5"/>
        <v>0</v>
      </c>
      <c r="AE125" s="119">
        <f t="shared" si="5"/>
        <v>0</v>
      </c>
      <c r="AF125" s="119">
        <f t="shared" si="5"/>
        <v>0</v>
      </c>
      <c r="AG125" s="119">
        <f t="shared" si="5"/>
        <v>0</v>
      </c>
      <c r="AH125" s="119">
        <f t="shared" si="5"/>
        <v>0</v>
      </c>
      <c r="AI125" s="119">
        <f t="shared" si="5"/>
        <v>0</v>
      </c>
      <c r="AJ125" s="119">
        <f t="shared" si="5"/>
        <v>0</v>
      </c>
      <c r="AK125" s="119">
        <f t="shared" si="5"/>
        <v>3860162.77</v>
      </c>
      <c r="AL125" s="119">
        <f t="shared" si="5"/>
        <v>3865605.4200000004</v>
      </c>
      <c r="AM125" s="119">
        <f t="shared" si="5"/>
        <v>652033.92000000004</v>
      </c>
      <c r="AN125" s="119">
        <f t="shared" si="5"/>
        <v>0</v>
      </c>
      <c r="AO125" s="119">
        <f t="shared" si="5"/>
        <v>0</v>
      </c>
      <c r="AP125" s="119">
        <f t="shared" si="5"/>
        <v>0</v>
      </c>
      <c r="AQ125" s="119">
        <f t="shared" si="5"/>
        <v>0</v>
      </c>
      <c r="AR125" s="119">
        <f t="shared" si="5"/>
        <v>0</v>
      </c>
      <c r="AS125" s="119">
        <f t="shared" si="5"/>
        <v>0</v>
      </c>
      <c r="AT125" s="119">
        <f t="shared" si="5"/>
        <v>0</v>
      </c>
      <c r="AU125" s="119">
        <f t="shared" si="5"/>
        <v>0</v>
      </c>
      <c r="AV125" s="119">
        <f t="shared" si="5"/>
        <v>60535</v>
      </c>
      <c r="AW125" s="119">
        <f t="shared" si="5"/>
        <v>0</v>
      </c>
      <c r="AX125" s="119">
        <f t="shared" si="5"/>
        <v>0</v>
      </c>
      <c r="AY125" s="119">
        <f t="shared" si="5"/>
        <v>32889.839999999997</v>
      </c>
      <c r="AZ125" s="119">
        <f t="shared" si="5"/>
        <v>0</v>
      </c>
      <c r="BA125" s="119">
        <f t="shared" si="5"/>
        <v>0</v>
      </c>
      <c r="BB125" s="119">
        <f t="shared" si="5"/>
        <v>0</v>
      </c>
      <c r="BC125" s="119">
        <f t="shared" si="5"/>
        <v>0</v>
      </c>
      <c r="BD125" s="119">
        <f t="shared" si="5"/>
        <v>0</v>
      </c>
      <c r="BE125" s="119">
        <f t="shared" si="5"/>
        <v>0</v>
      </c>
      <c r="BF125" s="119">
        <f t="shared" si="5"/>
        <v>0</v>
      </c>
      <c r="BG125" s="119">
        <f t="shared" si="5"/>
        <v>0</v>
      </c>
      <c r="BH125" s="119">
        <f t="shared" si="5"/>
        <v>0</v>
      </c>
      <c r="BI125" s="119">
        <f t="shared" si="5"/>
        <v>0</v>
      </c>
      <c r="BJ125" s="119">
        <f t="shared" si="5"/>
        <v>0</v>
      </c>
      <c r="BK125" s="119">
        <f t="shared" si="5"/>
        <v>0</v>
      </c>
      <c r="BL125" s="119">
        <f t="shared" si="5"/>
        <v>0</v>
      </c>
      <c r="BM125" s="119">
        <f t="shared" ref="BM125:DX125" si="6">SUM(BM3:BM123)</f>
        <v>0</v>
      </c>
      <c r="BN125" s="119">
        <f t="shared" si="6"/>
        <v>0</v>
      </c>
      <c r="BO125" s="119">
        <f t="shared" si="6"/>
        <v>0</v>
      </c>
      <c r="BP125" s="119">
        <f t="shared" si="6"/>
        <v>0</v>
      </c>
      <c r="BQ125" s="119">
        <f t="shared" si="6"/>
        <v>0</v>
      </c>
      <c r="BR125" s="119">
        <f t="shared" si="6"/>
        <v>0</v>
      </c>
      <c r="BS125" s="119">
        <f t="shared" si="6"/>
        <v>0</v>
      </c>
      <c r="BT125" s="119">
        <f t="shared" si="6"/>
        <v>0</v>
      </c>
      <c r="BU125" s="119">
        <f t="shared" si="6"/>
        <v>0</v>
      </c>
      <c r="BV125" s="119">
        <f t="shared" si="6"/>
        <v>0</v>
      </c>
      <c r="BW125" s="119">
        <f t="shared" si="6"/>
        <v>17999.98</v>
      </c>
      <c r="BX125" s="119">
        <f t="shared" si="6"/>
        <v>0</v>
      </c>
      <c r="BY125" s="119">
        <f t="shared" si="6"/>
        <v>0</v>
      </c>
      <c r="BZ125" s="119">
        <f t="shared" si="6"/>
        <v>0</v>
      </c>
      <c r="CA125" s="119">
        <f t="shared" si="6"/>
        <v>0</v>
      </c>
      <c r="CB125" s="119">
        <f t="shared" si="6"/>
        <v>0</v>
      </c>
      <c r="CC125" s="119">
        <f t="shared" si="6"/>
        <v>0</v>
      </c>
      <c r="CD125" s="119">
        <f t="shared" si="6"/>
        <v>0</v>
      </c>
      <c r="CE125" s="119">
        <f t="shared" si="6"/>
        <v>0</v>
      </c>
      <c r="CF125" s="119">
        <f t="shared" si="6"/>
        <v>0</v>
      </c>
      <c r="CG125" s="119">
        <f t="shared" si="6"/>
        <v>0</v>
      </c>
      <c r="CH125" s="119">
        <f t="shared" si="6"/>
        <v>0</v>
      </c>
      <c r="CI125" s="119">
        <f t="shared" si="6"/>
        <v>0</v>
      </c>
      <c r="CJ125" s="119">
        <f t="shared" si="6"/>
        <v>0</v>
      </c>
      <c r="CK125" s="119">
        <f t="shared" si="6"/>
        <v>0</v>
      </c>
      <c r="CL125" s="119">
        <f t="shared" si="6"/>
        <v>1156400</v>
      </c>
      <c r="CM125" s="119">
        <f t="shared" si="6"/>
        <v>0</v>
      </c>
      <c r="CN125" s="119">
        <f t="shared" si="6"/>
        <v>0</v>
      </c>
      <c r="CO125" s="119">
        <f t="shared" si="6"/>
        <v>0</v>
      </c>
      <c r="CP125" s="119">
        <f t="shared" si="6"/>
        <v>0</v>
      </c>
      <c r="CQ125" s="119">
        <f t="shared" si="6"/>
        <v>0</v>
      </c>
      <c r="CR125" s="119">
        <f t="shared" si="6"/>
        <v>0</v>
      </c>
      <c r="CS125" s="119">
        <f t="shared" si="6"/>
        <v>0</v>
      </c>
      <c r="CT125" s="119">
        <f t="shared" si="6"/>
        <v>0</v>
      </c>
      <c r="CU125" s="119">
        <f t="shared" si="6"/>
        <v>0</v>
      </c>
      <c r="CV125" s="119">
        <f t="shared" si="6"/>
        <v>0</v>
      </c>
      <c r="CW125" s="119">
        <f t="shared" si="6"/>
        <v>0</v>
      </c>
      <c r="CX125" s="119">
        <f t="shared" si="6"/>
        <v>0</v>
      </c>
      <c r="CY125" s="119">
        <f t="shared" si="6"/>
        <v>0</v>
      </c>
      <c r="CZ125" s="119">
        <f t="shared" si="6"/>
        <v>413000</v>
      </c>
      <c r="DA125" s="119">
        <f t="shared" si="6"/>
        <v>0</v>
      </c>
      <c r="DB125" s="119">
        <f t="shared" si="6"/>
        <v>0</v>
      </c>
      <c r="DC125" s="119">
        <f t="shared" si="6"/>
        <v>0</v>
      </c>
      <c r="DD125" s="119">
        <f t="shared" si="6"/>
        <v>0</v>
      </c>
      <c r="DE125" s="119">
        <f t="shared" si="6"/>
        <v>0</v>
      </c>
      <c r="DF125" s="119">
        <f t="shared" si="6"/>
        <v>0</v>
      </c>
      <c r="DG125" s="119">
        <f t="shared" si="6"/>
        <v>0</v>
      </c>
      <c r="DH125" s="119">
        <f t="shared" si="6"/>
        <v>0</v>
      </c>
      <c r="DI125" s="119">
        <f t="shared" si="6"/>
        <v>0</v>
      </c>
      <c r="DJ125" s="119">
        <f t="shared" si="6"/>
        <v>0</v>
      </c>
      <c r="DK125" s="119">
        <f t="shared" si="6"/>
        <v>1657538.8</v>
      </c>
      <c r="DL125" s="119">
        <f t="shared" si="6"/>
        <v>0</v>
      </c>
      <c r="DM125" s="119">
        <f t="shared" si="6"/>
        <v>0</v>
      </c>
      <c r="DN125" s="119">
        <f t="shared" si="6"/>
        <v>0</v>
      </c>
      <c r="DO125" s="119">
        <f t="shared" si="6"/>
        <v>0</v>
      </c>
      <c r="DP125" s="119">
        <f t="shared" si="6"/>
        <v>0</v>
      </c>
      <c r="DQ125" s="119">
        <f t="shared" si="6"/>
        <v>0</v>
      </c>
      <c r="DR125" s="119">
        <f t="shared" si="6"/>
        <v>0</v>
      </c>
      <c r="DS125" s="119">
        <f t="shared" si="6"/>
        <v>0</v>
      </c>
      <c r="DT125" s="119">
        <f t="shared" si="6"/>
        <v>0</v>
      </c>
      <c r="DU125" s="119">
        <f t="shared" si="6"/>
        <v>9487.2000000000007</v>
      </c>
      <c r="DV125" s="119">
        <f t="shared" si="6"/>
        <v>217335.76</v>
      </c>
      <c r="DW125" s="119">
        <f t="shared" si="6"/>
        <v>538316</v>
      </c>
      <c r="DX125" s="119">
        <f t="shared" si="6"/>
        <v>0</v>
      </c>
      <c r="DY125" s="119">
        <f t="shared" ref="DY125:GJ125" si="7">SUM(DY3:DY123)</f>
        <v>0</v>
      </c>
      <c r="DZ125" s="119">
        <f t="shared" si="7"/>
        <v>0</v>
      </c>
      <c r="EA125" s="119">
        <f t="shared" si="7"/>
        <v>2637285.6</v>
      </c>
      <c r="EB125" s="119">
        <f t="shared" si="7"/>
        <v>0</v>
      </c>
      <c r="EC125" s="119">
        <f t="shared" si="7"/>
        <v>0</v>
      </c>
      <c r="ED125" s="119">
        <f t="shared" si="7"/>
        <v>0</v>
      </c>
      <c r="EE125" s="119">
        <f t="shared" si="7"/>
        <v>0</v>
      </c>
      <c r="EF125" s="119">
        <f t="shared" si="7"/>
        <v>0</v>
      </c>
      <c r="EG125" s="119">
        <f t="shared" si="7"/>
        <v>384413.08</v>
      </c>
      <c r="EH125" s="119">
        <f t="shared" si="7"/>
        <v>0</v>
      </c>
      <c r="EI125" s="119">
        <f t="shared" si="7"/>
        <v>0</v>
      </c>
      <c r="EJ125" s="119">
        <f t="shared" si="7"/>
        <v>0</v>
      </c>
      <c r="EK125" s="119">
        <f t="shared" si="7"/>
        <v>0</v>
      </c>
      <c r="EL125" s="119">
        <f t="shared" si="7"/>
        <v>0</v>
      </c>
      <c r="EM125" s="119">
        <f t="shared" si="7"/>
        <v>0</v>
      </c>
      <c r="EN125" s="119">
        <f t="shared" si="7"/>
        <v>0</v>
      </c>
      <c r="EO125" s="119">
        <f t="shared" si="7"/>
        <v>0</v>
      </c>
      <c r="EP125" s="119">
        <f t="shared" si="7"/>
        <v>202488</v>
      </c>
      <c r="EQ125" s="119">
        <f t="shared" si="7"/>
        <v>0</v>
      </c>
      <c r="ER125" s="119">
        <f t="shared" si="7"/>
        <v>12689.81</v>
      </c>
      <c r="ES125" s="119">
        <f t="shared" si="7"/>
        <v>0</v>
      </c>
      <c r="ET125" s="119">
        <f t="shared" si="7"/>
        <v>0</v>
      </c>
      <c r="EU125" s="119">
        <f t="shared" si="7"/>
        <v>0</v>
      </c>
      <c r="EV125" s="119">
        <f t="shared" si="7"/>
        <v>0</v>
      </c>
      <c r="EW125" s="119">
        <f t="shared" si="7"/>
        <v>0</v>
      </c>
      <c r="EX125" s="119">
        <f t="shared" si="7"/>
        <v>0</v>
      </c>
      <c r="EY125" s="119">
        <f t="shared" si="7"/>
        <v>0</v>
      </c>
      <c r="EZ125" s="119">
        <f t="shared" si="7"/>
        <v>0</v>
      </c>
      <c r="FA125" s="119">
        <f t="shared" si="7"/>
        <v>1649337.32</v>
      </c>
      <c r="FB125" s="119">
        <f t="shared" si="7"/>
        <v>664800</v>
      </c>
      <c r="FC125" s="119">
        <f t="shared" si="7"/>
        <v>0</v>
      </c>
      <c r="FD125" s="119">
        <f t="shared" si="7"/>
        <v>0</v>
      </c>
      <c r="FE125" s="119">
        <f t="shared" si="7"/>
        <v>0</v>
      </c>
      <c r="FF125" s="119">
        <f t="shared" si="7"/>
        <v>0</v>
      </c>
      <c r="FG125" s="119">
        <f t="shared" si="7"/>
        <v>0</v>
      </c>
      <c r="FH125" s="119">
        <f t="shared" si="7"/>
        <v>0</v>
      </c>
      <c r="FI125" s="119">
        <f t="shared" si="7"/>
        <v>0</v>
      </c>
      <c r="FJ125" s="119">
        <f t="shared" si="7"/>
        <v>1653884.2999999998</v>
      </c>
      <c r="FK125" s="119">
        <f t="shared" si="7"/>
        <v>0</v>
      </c>
      <c r="FL125" s="119">
        <f t="shared" si="7"/>
        <v>0</v>
      </c>
      <c r="FM125" s="119">
        <f t="shared" si="7"/>
        <v>327699.16000000003</v>
      </c>
      <c r="FN125" s="119">
        <f t="shared" si="7"/>
        <v>113956.7</v>
      </c>
      <c r="FO125" s="119">
        <f t="shared" si="7"/>
        <v>0</v>
      </c>
      <c r="FP125" s="119">
        <f t="shared" si="7"/>
        <v>0</v>
      </c>
      <c r="FQ125" s="119">
        <f t="shared" si="7"/>
        <v>662238.28999999992</v>
      </c>
      <c r="FR125" s="119">
        <f t="shared" si="7"/>
        <v>0</v>
      </c>
      <c r="FS125" s="119">
        <f t="shared" si="7"/>
        <v>7363.2</v>
      </c>
      <c r="FT125" s="119">
        <f t="shared" si="7"/>
        <v>5679913.2400000002</v>
      </c>
      <c r="FU125" s="119">
        <f t="shared" si="7"/>
        <v>0</v>
      </c>
      <c r="FV125" s="119">
        <f t="shared" si="7"/>
        <v>0</v>
      </c>
      <c r="FW125" s="119">
        <f t="shared" si="7"/>
        <v>148801.03</v>
      </c>
      <c r="FX125" s="119">
        <f t="shared" si="7"/>
        <v>0</v>
      </c>
      <c r="FY125" s="119">
        <f t="shared" si="7"/>
        <v>0</v>
      </c>
      <c r="FZ125" s="119">
        <f t="shared" si="7"/>
        <v>0</v>
      </c>
      <c r="GA125" s="119">
        <f t="shared" si="7"/>
        <v>0</v>
      </c>
      <c r="GB125" s="119">
        <f t="shared" si="7"/>
        <v>40966.129999999997</v>
      </c>
      <c r="GC125" s="119">
        <f t="shared" si="7"/>
        <v>0</v>
      </c>
      <c r="GD125" s="119">
        <f t="shared" si="7"/>
        <v>0</v>
      </c>
      <c r="GE125" s="119">
        <f t="shared" si="7"/>
        <v>0</v>
      </c>
      <c r="GF125" s="119">
        <f t="shared" si="7"/>
        <v>0</v>
      </c>
      <c r="GG125" s="119">
        <f t="shared" si="7"/>
        <v>0</v>
      </c>
      <c r="GH125" s="119">
        <f t="shared" si="7"/>
        <v>0</v>
      </c>
      <c r="GI125" s="119">
        <f t="shared" si="7"/>
        <v>0</v>
      </c>
      <c r="GJ125" s="119">
        <f t="shared" si="7"/>
        <v>40572.730000000003</v>
      </c>
      <c r="GK125" s="119">
        <f t="shared" ref="GK125:IV125" si="8">SUM(GK3:GK123)</f>
        <v>118194.26</v>
      </c>
      <c r="GL125" s="119">
        <f t="shared" si="8"/>
        <v>72717.259999999995</v>
      </c>
      <c r="GM125" s="119">
        <f t="shared" si="8"/>
        <v>47202.36</v>
      </c>
      <c r="GN125" s="119">
        <f t="shared" si="8"/>
        <v>0</v>
      </c>
      <c r="GO125" s="119">
        <f t="shared" si="8"/>
        <v>0</v>
      </c>
      <c r="GP125" s="119">
        <f t="shared" si="8"/>
        <v>135724.38</v>
      </c>
      <c r="GQ125" s="119">
        <f t="shared" si="8"/>
        <v>679653.51</v>
      </c>
      <c r="GR125" s="119">
        <f t="shared" si="8"/>
        <v>1605558.15</v>
      </c>
      <c r="GS125" s="119">
        <f t="shared" si="8"/>
        <v>0</v>
      </c>
      <c r="GT125" s="119">
        <f t="shared" si="8"/>
        <v>0</v>
      </c>
      <c r="GU125" s="119">
        <f t="shared" si="8"/>
        <v>0</v>
      </c>
      <c r="GV125" s="119">
        <f t="shared" si="8"/>
        <v>0</v>
      </c>
      <c r="GW125" s="119">
        <f t="shared" si="8"/>
        <v>0</v>
      </c>
      <c r="GX125" s="119">
        <f t="shared" si="8"/>
        <v>0</v>
      </c>
      <c r="GY125" s="119">
        <f t="shared" si="8"/>
        <v>0</v>
      </c>
      <c r="GZ125" s="119">
        <f t="shared" si="8"/>
        <v>0</v>
      </c>
      <c r="HA125" s="119">
        <f t="shared" si="8"/>
        <v>0</v>
      </c>
      <c r="HB125" s="119">
        <f t="shared" si="8"/>
        <v>0</v>
      </c>
      <c r="HC125" s="119">
        <f t="shared" si="8"/>
        <v>0</v>
      </c>
      <c r="HD125" s="119">
        <f t="shared" si="8"/>
        <v>15963.52</v>
      </c>
      <c r="HE125" s="119">
        <f t="shared" si="8"/>
        <v>0</v>
      </c>
      <c r="HF125" s="119">
        <f t="shared" si="8"/>
        <v>3389717.04</v>
      </c>
      <c r="HG125" s="119">
        <f t="shared" si="8"/>
        <v>0</v>
      </c>
      <c r="HH125" s="119">
        <f t="shared" si="8"/>
        <v>0</v>
      </c>
      <c r="HI125" s="119">
        <f t="shared" si="8"/>
        <v>32104.99</v>
      </c>
      <c r="HJ125" s="119">
        <f t="shared" si="8"/>
        <v>97704</v>
      </c>
      <c r="HK125" s="119">
        <f t="shared" si="8"/>
        <v>0</v>
      </c>
      <c r="HL125" s="119">
        <f t="shared" si="8"/>
        <v>0</v>
      </c>
      <c r="HM125" s="119">
        <f t="shared" si="8"/>
        <v>0</v>
      </c>
      <c r="HN125" s="119">
        <f t="shared" si="8"/>
        <v>0</v>
      </c>
      <c r="HO125" s="119">
        <f t="shared" si="8"/>
        <v>0</v>
      </c>
      <c r="HP125" s="119">
        <f t="shared" si="8"/>
        <v>0</v>
      </c>
      <c r="HQ125" s="119">
        <f t="shared" si="8"/>
        <v>0</v>
      </c>
      <c r="HR125" s="119">
        <f t="shared" si="8"/>
        <v>0</v>
      </c>
      <c r="HS125" s="119">
        <f t="shared" si="8"/>
        <v>0</v>
      </c>
      <c r="HT125" s="119">
        <f t="shared" si="8"/>
        <v>0</v>
      </c>
      <c r="HU125" s="119">
        <f t="shared" si="8"/>
        <v>0</v>
      </c>
      <c r="HV125" s="119">
        <f t="shared" si="8"/>
        <v>0</v>
      </c>
      <c r="HW125" s="119">
        <f t="shared" si="8"/>
        <v>0</v>
      </c>
      <c r="HX125" s="119">
        <f t="shared" si="8"/>
        <v>0</v>
      </c>
      <c r="HY125" s="119">
        <f t="shared" si="8"/>
        <v>0</v>
      </c>
      <c r="HZ125" s="119">
        <f t="shared" si="8"/>
        <v>0</v>
      </c>
      <c r="IA125" s="119">
        <f t="shared" si="8"/>
        <v>0</v>
      </c>
      <c r="IB125" s="119">
        <f t="shared" si="8"/>
        <v>0</v>
      </c>
      <c r="IC125" s="119">
        <f t="shared" si="8"/>
        <v>0</v>
      </c>
      <c r="ID125" s="119">
        <f t="shared" si="8"/>
        <v>0</v>
      </c>
      <c r="IE125" s="119">
        <f t="shared" si="8"/>
        <v>0</v>
      </c>
      <c r="IF125" s="119">
        <f t="shared" si="8"/>
        <v>0</v>
      </c>
      <c r="IG125" s="119">
        <f t="shared" si="8"/>
        <v>0</v>
      </c>
      <c r="IH125" s="119">
        <f t="shared" si="8"/>
        <v>0</v>
      </c>
      <c r="II125" s="119">
        <f t="shared" si="8"/>
        <v>0</v>
      </c>
      <c r="IJ125" s="119">
        <f t="shared" si="8"/>
        <v>0</v>
      </c>
      <c r="IK125" s="119">
        <f t="shared" si="8"/>
        <v>0</v>
      </c>
      <c r="IL125" s="119">
        <f t="shared" si="8"/>
        <v>0</v>
      </c>
      <c r="IM125" s="119">
        <f t="shared" si="8"/>
        <v>0</v>
      </c>
      <c r="IN125" s="119">
        <f t="shared" si="8"/>
        <v>0</v>
      </c>
      <c r="IO125" s="119">
        <f t="shared" si="8"/>
        <v>0</v>
      </c>
      <c r="IP125" s="119">
        <f t="shared" si="8"/>
        <v>345560.94</v>
      </c>
      <c r="IQ125" s="119">
        <f t="shared" si="8"/>
        <v>0</v>
      </c>
      <c r="IR125" s="119">
        <f t="shared" si="8"/>
        <v>0</v>
      </c>
      <c r="IS125" s="119">
        <f t="shared" si="8"/>
        <v>0</v>
      </c>
      <c r="IT125" s="119">
        <f t="shared" si="8"/>
        <v>0</v>
      </c>
      <c r="IU125" s="119">
        <f t="shared" si="8"/>
        <v>0</v>
      </c>
      <c r="IV125" s="119">
        <f t="shared" si="8"/>
        <v>0</v>
      </c>
      <c r="IW125" s="119">
        <f t="shared" ref="IW125:JH125" si="9">SUM(IW3:IW123)</f>
        <v>0</v>
      </c>
      <c r="IX125" s="119">
        <f t="shared" si="9"/>
        <v>0</v>
      </c>
      <c r="IY125" s="119">
        <f t="shared" si="9"/>
        <v>0</v>
      </c>
      <c r="IZ125" s="119">
        <f t="shared" si="9"/>
        <v>0</v>
      </c>
      <c r="JA125" s="119">
        <f t="shared" si="9"/>
        <v>0</v>
      </c>
      <c r="JB125" s="119">
        <f t="shared" si="9"/>
        <v>0</v>
      </c>
      <c r="JC125" s="119">
        <f t="shared" si="9"/>
        <v>0</v>
      </c>
      <c r="JD125" s="119">
        <f t="shared" si="9"/>
        <v>0</v>
      </c>
      <c r="JE125" s="119">
        <f t="shared" si="9"/>
        <v>0</v>
      </c>
      <c r="JF125" s="119">
        <f t="shared" si="9"/>
        <v>0</v>
      </c>
      <c r="JG125" s="119">
        <f t="shared" si="9"/>
        <v>0</v>
      </c>
      <c r="JH125" s="119">
        <f t="shared" si="9"/>
        <v>0</v>
      </c>
      <c r="JI125" s="119">
        <f>SUM(JI3:JI123)</f>
        <v>91500562.429999992</v>
      </c>
      <c r="JJ125" s="2"/>
      <c r="JK125" s="125"/>
      <c r="JL125" s="125">
        <f t="shared" si="3"/>
        <v>91500562.429999992</v>
      </c>
      <c r="JM125" s="122">
        <f>SUM(JM3:JM56)</f>
        <v>0</v>
      </c>
      <c r="JN125" s="122">
        <f>SUM(JN3:JN56)</f>
        <v>0</v>
      </c>
      <c r="JO125" s="122">
        <f>SUM(JO3:JO56)</f>
        <v>0</v>
      </c>
      <c r="JP125" s="122">
        <f>SUM(JP3:JP56)</f>
        <v>0</v>
      </c>
    </row>
    <row r="126" spans="1:276" x14ac:dyDescent="0.25">
      <c r="A126" s="119">
        <f t="shared" ref="A126:BL126" si="10">+A125</f>
        <v>53314609.399999999</v>
      </c>
      <c r="B126" s="119">
        <f t="shared" si="10"/>
        <v>0</v>
      </c>
      <c r="C126" s="119">
        <f t="shared" si="10"/>
        <v>0</v>
      </c>
      <c r="D126" s="119">
        <f t="shared" si="10"/>
        <v>0</v>
      </c>
      <c r="E126" s="119">
        <f t="shared" si="10"/>
        <v>0</v>
      </c>
      <c r="F126" s="119">
        <f t="shared" si="10"/>
        <v>0</v>
      </c>
      <c r="G126" s="119">
        <f t="shared" si="10"/>
        <v>0</v>
      </c>
      <c r="H126" s="119">
        <f t="shared" si="10"/>
        <v>0</v>
      </c>
      <c r="I126" s="119">
        <f t="shared" si="10"/>
        <v>0</v>
      </c>
      <c r="J126" s="119">
        <f t="shared" si="10"/>
        <v>1130531.03</v>
      </c>
      <c r="K126" s="119">
        <f t="shared" si="10"/>
        <v>0</v>
      </c>
      <c r="L126" s="119">
        <f t="shared" si="10"/>
        <v>0</v>
      </c>
      <c r="M126" s="119">
        <f t="shared" si="10"/>
        <v>0</v>
      </c>
      <c r="N126" s="119">
        <f t="shared" si="10"/>
        <v>0</v>
      </c>
      <c r="O126" s="119">
        <f t="shared" si="10"/>
        <v>0</v>
      </c>
      <c r="P126" s="119">
        <f t="shared" si="10"/>
        <v>0</v>
      </c>
      <c r="Q126" s="119">
        <f t="shared" si="10"/>
        <v>0</v>
      </c>
      <c r="R126" s="119">
        <f t="shared" si="10"/>
        <v>0</v>
      </c>
      <c r="S126" s="119">
        <f t="shared" si="10"/>
        <v>2723298.24</v>
      </c>
      <c r="T126" s="119">
        <f t="shared" si="10"/>
        <v>0</v>
      </c>
      <c r="U126" s="119">
        <f t="shared" si="10"/>
        <v>0</v>
      </c>
      <c r="V126" s="119">
        <f t="shared" si="10"/>
        <v>0</v>
      </c>
      <c r="W126" s="119">
        <f t="shared" si="10"/>
        <v>45000</v>
      </c>
      <c r="X126" s="119">
        <f t="shared" si="10"/>
        <v>0</v>
      </c>
      <c r="Y126" s="119">
        <f t="shared" si="10"/>
        <v>0</v>
      </c>
      <c r="Z126" s="119">
        <f t="shared" si="10"/>
        <v>334800</v>
      </c>
      <c r="AA126" s="119">
        <f t="shared" si="10"/>
        <v>443970.11</v>
      </c>
      <c r="AB126" s="119">
        <f t="shared" si="10"/>
        <v>260539.96</v>
      </c>
      <c r="AC126" s="119">
        <f t="shared" si="10"/>
        <v>0</v>
      </c>
      <c r="AD126" s="119">
        <f t="shared" si="10"/>
        <v>0</v>
      </c>
      <c r="AE126" s="119">
        <f t="shared" si="10"/>
        <v>0</v>
      </c>
      <c r="AF126" s="119">
        <f t="shared" si="10"/>
        <v>0</v>
      </c>
      <c r="AG126" s="119">
        <f t="shared" si="10"/>
        <v>0</v>
      </c>
      <c r="AH126" s="119">
        <f t="shared" si="10"/>
        <v>0</v>
      </c>
      <c r="AI126" s="119">
        <f t="shared" si="10"/>
        <v>0</v>
      </c>
      <c r="AJ126" s="119">
        <f t="shared" si="10"/>
        <v>0</v>
      </c>
      <c r="AK126" s="119">
        <f t="shared" si="10"/>
        <v>3860162.77</v>
      </c>
      <c r="AL126" s="119">
        <f t="shared" si="10"/>
        <v>3865605.4200000004</v>
      </c>
      <c r="AM126" s="119">
        <f t="shared" si="10"/>
        <v>652033.92000000004</v>
      </c>
      <c r="AN126" s="119">
        <f t="shared" si="10"/>
        <v>0</v>
      </c>
      <c r="AO126" s="119">
        <f t="shared" si="10"/>
        <v>0</v>
      </c>
      <c r="AP126" s="119">
        <f t="shared" si="10"/>
        <v>0</v>
      </c>
      <c r="AQ126" s="119">
        <f t="shared" si="10"/>
        <v>0</v>
      </c>
      <c r="AR126" s="119">
        <f t="shared" si="10"/>
        <v>0</v>
      </c>
      <c r="AS126" s="119">
        <f t="shared" si="10"/>
        <v>0</v>
      </c>
      <c r="AT126" s="119">
        <f t="shared" si="10"/>
        <v>0</v>
      </c>
      <c r="AU126" s="119">
        <f t="shared" si="10"/>
        <v>0</v>
      </c>
      <c r="AV126" s="119">
        <f t="shared" si="10"/>
        <v>60535</v>
      </c>
      <c r="AW126" s="119">
        <f t="shared" si="10"/>
        <v>0</v>
      </c>
      <c r="AX126" s="119">
        <f t="shared" si="10"/>
        <v>0</v>
      </c>
      <c r="AY126" s="119">
        <f t="shared" si="10"/>
        <v>32889.839999999997</v>
      </c>
      <c r="AZ126" s="119">
        <f t="shared" si="10"/>
        <v>0</v>
      </c>
      <c r="BA126" s="119">
        <f t="shared" si="10"/>
        <v>0</v>
      </c>
      <c r="BB126" s="119">
        <f t="shared" si="10"/>
        <v>0</v>
      </c>
      <c r="BC126" s="119">
        <f t="shared" si="10"/>
        <v>0</v>
      </c>
      <c r="BD126" s="119">
        <f t="shared" si="10"/>
        <v>0</v>
      </c>
      <c r="BE126" s="119">
        <f t="shared" si="10"/>
        <v>0</v>
      </c>
      <c r="BF126" s="119">
        <f t="shared" si="10"/>
        <v>0</v>
      </c>
      <c r="BG126" s="119">
        <f t="shared" si="10"/>
        <v>0</v>
      </c>
      <c r="BH126" s="119">
        <f t="shared" si="10"/>
        <v>0</v>
      </c>
      <c r="BI126" s="119">
        <f t="shared" si="10"/>
        <v>0</v>
      </c>
      <c r="BJ126" s="119">
        <f t="shared" si="10"/>
        <v>0</v>
      </c>
      <c r="BK126" s="119">
        <f t="shared" si="10"/>
        <v>0</v>
      </c>
      <c r="BL126" s="119">
        <f t="shared" si="10"/>
        <v>0</v>
      </c>
      <c r="BM126" s="119">
        <f t="shared" ref="BM126:DX126" si="11">+BM125</f>
        <v>0</v>
      </c>
      <c r="BN126" s="119">
        <f t="shared" si="11"/>
        <v>0</v>
      </c>
      <c r="BO126" s="119">
        <f t="shared" si="11"/>
        <v>0</v>
      </c>
      <c r="BP126" s="119">
        <f t="shared" si="11"/>
        <v>0</v>
      </c>
      <c r="BQ126" s="119">
        <f t="shared" si="11"/>
        <v>0</v>
      </c>
      <c r="BR126" s="119">
        <f t="shared" si="11"/>
        <v>0</v>
      </c>
      <c r="BS126" s="119">
        <f t="shared" si="11"/>
        <v>0</v>
      </c>
      <c r="BT126" s="119">
        <f t="shared" si="11"/>
        <v>0</v>
      </c>
      <c r="BU126" s="119">
        <f t="shared" si="11"/>
        <v>0</v>
      </c>
      <c r="BV126" s="119">
        <f t="shared" si="11"/>
        <v>0</v>
      </c>
      <c r="BW126" s="119">
        <f t="shared" si="11"/>
        <v>17999.98</v>
      </c>
      <c r="BX126" s="119">
        <f t="shared" si="11"/>
        <v>0</v>
      </c>
      <c r="BY126" s="119">
        <f t="shared" si="11"/>
        <v>0</v>
      </c>
      <c r="BZ126" s="119">
        <f t="shared" si="11"/>
        <v>0</v>
      </c>
      <c r="CA126" s="119">
        <f t="shared" si="11"/>
        <v>0</v>
      </c>
      <c r="CB126" s="119">
        <f t="shared" si="11"/>
        <v>0</v>
      </c>
      <c r="CC126" s="119">
        <f t="shared" si="11"/>
        <v>0</v>
      </c>
      <c r="CD126" s="119">
        <f t="shared" si="11"/>
        <v>0</v>
      </c>
      <c r="CE126" s="119">
        <f t="shared" si="11"/>
        <v>0</v>
      </c>
      <c r="CF126" s="119">
        <f t="shared" si="11"/>
        <v>0</v>
      </c>
      <c r="CG126" s="119">
        <f t="shared" si="11"/>
        <v>0</v>
      </c>
      <c r="CH126" s="119">
        <f t="shared" si="11"/>
        <v>0</v>
      </c>
      <c r="CI126" s="119">
        <f t="shared" si="11"/>
        <v>0</v>
      </c>
      <c r="CJ126" s="119">
        <f t="shared" si="11"/>
        <v>0</v>
      </c>
      <c r="CK126" s="119">
        <f t="shared" si="11"/>
        <v>0</v>
      </c>
      <c r="CL126" s="119">
        <f t="shared" si="11"/>
        <v>1156400</v>
      </c>
      <c r="CM126" s="119">
        <f t="shared" si="11"/>
        <v>0</v>
      </c>
      <c r="CN126" s="119">
        <f t="shared" si="11"/>
        <v>0</v>
      </c>
      <c r="CO126" s="119">
        <f t="shared" si="11"/>
        <v>0</v>
      </c>
      <c r="CP126" s="119">
        <f t="shared" si="11"/>
        <v>0</v>
      </c>
      <c r="CQ126" s="119">
        <f t="shared" si="11"/>
        <v>0</v>
      </c>
      <c r="CR126" s="119">
        <f t="shared" si="11"/>
        <v>0</v>
      </c>
      <c r="CS126" s="119">
        <f t="shared" si="11"/>
        <v>0</v>
      </c>
      <c r="CT126" s="119">
        <f t="shared" si="11"/>
        <v>0</v>
      </c>
      <c r="CU126" s="119">
        <f t="shared" si="11"/>
        <v>0</v>
      </c>
      <c r="CV126" s="119">
        <f t="shared" si="11"/>
        <v>0</v>
      </c>
      <c r="CW126" s="119">
        <f t="shared" si="11"/>
        <v>0</v>
      </c>
      <c r="CX126" s="119">
        <f t="shared" si="11"/>
        <v>0</v>
      </c>
      <c r="CY126" s="119">
        <f t="shared" si="11"/>
        <v>0</v>
      </c>
      <c r="CZ126" s="119">
        <f t="shared" si="11"/>
        <v>413000</v>
      </c>
      <c r="DA126" s="119">
        <f t="shared" si="11"/>
        <v>0</v>
      </c>
      <c r="DB126" s="119">
        <f t="shared" si="11"/>
        <v>0</v>
      </c>
      <c r="DC126" s="119">
        <f t="shared" si="11"/>
        <v>0</v>
      </c>
      <c r="DD126" s="119">
        <f t="shared" si="11"/>
        <v>0</v>
      </c>
      <c r="DE126" s="119">
        <f t="shared" si="11"/>
        <v>0</v>
      </c>
      <c r="DF126" s="119">
        <f t="shared" si="11"/>
        <v>0</v>
      </c>
      <c r="DG126" s="119">
        <f t="shared" si="11"/>
        <v>0</v>
      </c>
      <c r="DH126" s="119">
        <f t="shared" si="11"/>
        <v>0</v>
      </c>
      <c r="DI126" s="119">
        <f t="shared" si="11"/>
        <v>0</v>
      </c>
      <c r="DJ126" s="119">
        <f t="shared" si="11"/>
        <v>0</v>
      </c>
      <c r="DK126" s="119">
        <f t="shared" si="11"/>
        <v>1657538.8</v>
      </c>
      <c r="DL126" s="119">
        <f t="shared" si="11"/>
        <v>0</v>
      </c>
      <c r="DM126" s="119">
        <f t="shared" si="11"/>
        <v>0</v>
      </c>
      <c r="DN126" s="119">
        <f t="shared" si="11"/>
        <v>0</v>
      </c>
      <c r="DO126" s="119">
        <f t="shared" si="11"/>
        <v>0</v>
      </c>
      <c r="DP126" s="119">
        <f t="shared" si="11"/>
        <v>0</v>
      </c>
      <c r="DQ126" s="119">
        <f t="shared" si="11"/>
        <v>0</v>
      </c>
      <c r="DR126" s="119">
        <f t="shared" si="11"/>
        <v>0</v>
      </c>
      <c r="DS126" s="119">
        <f t="shared" si="11"/>
        <v>0</v>
      </c>
      <c r="DT126" s="119">
        <f t="shared" si="11"/>
        <v>0</v>
      </c>
      <c r="DU126" s="119">
        <f t="shared" si="11"/>
        <v>9487.2000000000007</v>
      </c>
      <c r="DV126" s="119">
        <f t="shared" si="11"/>
        <v>217335.76</v>
      </c>
      <c r="DW126" s="119">
        <f t="shared" si="11"/>
        <v>538316</v>
      </c>
      <c r="DX126" s="119">
        <f t="shared" si="11"/>
        <v>0</v>
      </c>
      <c r="DY126" s="119">
        <f t="shared" ref="DY126:GJ126" si="12">+DY125</f>
        <v>0</v>
      </c>
      <c r="DZ126" s="119">
        <f t="shared" si="12"/>
        <v>0</v>
      </c>
      <c r="EA126" s="119">
        <f t="shared" si="12"/>
        <v>2637285.6</v>
      </c>
      <c r="EB126" s="119">
        <f t="shared" si="12"/>
        <v>0</v>
      </c>
      <c r="EC126" s="119">
        <f t="shared" si="12"/>
        <v>0</v>
      </c>
      <c r="ED126" s="119">
        <f t="shared" si="12"/>
        <v>0</v>
      </c>
      <c r="EE126" s="119">
        <f t="shared" si="12"/>
        <v>0</v>
      </c>
      <c r="EF126" s="119">
        <f t="shared" si="12"/>
        <v>0</v>
      </c>
      <c r="EG126" s="119">
        <f t="shared" si="12"/>
        <v>384413.08</v>
      </c>
      <c r="EH126" s="119">
        <f t="shared" si="12"/>
        <v>0</v>
      </c>
      <c r="EI126" s="119">
        <f t="shared" si="12"/>
        <v>0</v>
      </c>
      <c r="EJ126" s="119">
        <f t="shared" si="12"/>
        <v>0</v>
      </c>
      <c r="EK126" s="119">
        <f t="shared" si="12"/>
        <v>0</v>
      </c>
      <c r="EL126" s="119">
        <f t="shared" si="12"/>
        <v>0</v>
      </c>
      <c r="EM126" s="119">
        <f t="shared" si="12"/>
        <v>0</v>
      </c>
      <c r="EN126" s="119">
        <f t="shared" si="12"/>
        <v>0</v>
      </c>
      <c r="EO126" s="119">
        <f t="shared" si="12"/>
        <v>0</v>
      </c>
      <c r="EP126" s="119">
        <f t="shared" si="12"/>
        <v>202488</v>
      </c>
      <c r="EQ126" s="119">
        <f t="shared" si="12"/>
        <v>0</v>
      </c>
      <c r="ER126" s="119">
        <f t="shared" si="12"/>
        <v>12689.81</v>
      </c>
      <c r="ES126" s="119">
        <f t="shared" si="12"/>
        <v>0</v>
      </c>
      <c r="ET126" s="119">
        <f t="shared" si="12"/>
        <v>0</v>
      </c>
      <c r="EU126" s="119">
        <f t="shared" si="12"/>
        <v>0</v>
      </c>
      <c r="EV126" s="119">
        <f t="shared" si="12"/>
        <v>0</v>
      </c>
      <c r="EW126" s="119">
        <f t="shared" si="12"/>
        <v>0</v>
      </c>
      <c r="EX126" s="119">
        <f t="shared" si="12"/>
        <v>0</v>
      </c>
      <c r="EY126" s="119">
        <f t="shared" si="12"/>
        <v>0</v>
      </c>
      <c r="EZ126" s="119">
        <f t="shared" si="12"/>
        <v>0</v>
      </c>
      <c r="FA126" s="119">
        <f t="shared" si="12"/>
        <v>1649337.32</v>
      </c>
      <c r="FB126" s="119">
        <f t="shared" si="12"/>
        <v>664800</v>
      </c>
      <c r="FC126" s="119">
        <f t="shared" si="12"/>
        <v>0</v>
      </c>
      <c r="FD126" s="119">
        <f t="shared" si="12"/>
        <v>0</v>
      </c>
      <c r="FE126" s="119">
        <f t="shared" si="12"/>
        <v>0</v>
      </c>
      <c r="FF126" s="119">
        <f t="shared" si="12"/>
        <v>0</v>
      </c>
      <c r="FG126" s="119">
        <f t="shared" si="12"/>
        <v>0</v>
      </c>
      <c r="FH126" s="119">
        <f t="shared" si="12"/>
        <v>0</v>
      </c>
      <c r="FI126" s="119">
        <f t="shared" si="12"/>
        <v>0</v>
      </c>
      <c r="FJ126" s="119">
        <f t="shared" si="12"/>
        <v>1653884.2999999998</v>
      </c>
      <c r="FK126" s="119">
        <f t="shared" si="12"/>
        <v>0</v>
      </c>
      <c r="FL126" s="119">
        <f t="shared" si="12"/>
        <v>0</v>
      </c>
      <c r="FM126" s="119">
        <f t="shared" si="12"/>
        <v>327699.16000000003</v>
      </c>
      <c r="FN126" s="119">
        <f t="shared" si="12"/>
        <v>113956.7</v>
      </c>
      <c r="FO126" s="119">
        <f t="shared" si="12"/>
        <v>0</v>
      </c>
      <c r="FP126" s="119">
        <f t="shared" si="12"/>
        <v>0</v>
      </c>
      <c r="FQ126" s="119">
        <f t="shared" si="12"/>
        <v>662238.28999999992</v>
      </c>
      <c r="FR126" s="119">
        <f t="shared" si="12"/>
        <v>0</v>
      </c>
      <c r="FS126" s="119">
        <f t="shared" si="12"/>
        <v>7363.2</v>
      </c>
      <c r="FT126" s="119">
        <f t="shared" si="12"/>
        <v>5679913.2400000002</v>
      </c>
      <c r="FU126" s="119">
        <f t="shared" si="12"/>
        <v>0</v>
      </c>
      <c r="FV126" s="119">
        <f t="shared" si="12"/>
        <v>0</v>
      </c>
      <c r="FW126" s="119">
        <f t="shared" si="12"/>
        <v>148801.03</v>
      </c>
      <c r="FX126" s="119">
        <f t="shared" si="12"/>
        <v>0</v>
      </c>
      <c r="FY126" s="119">
        <f t="shared" si="12"/>
        <v>0</v>
      </c>
      <c r="FZ126" s="119">
        <f t="shared" si="12"/>
        <v>0</v>
      </c>
      <c r="GA126" s="119">
        <f t="shared" si="12"/>
        <v>0</v>
      </c>
      <c r="GB126" s="119">
        <f t="shared" si="12"/>
        <v>40966.129999999997</v>
      </c>
      <c r="GC126" s="119">
        <f t="shared" si="12"/>
        <v>0</v>
      </c>
      <c r="GD126" s="119">
        <f t="shared" si="12"/>
        <v>0</v>
      </c>
      <c r="GE126" s="119">
        <f t="shared" si="12"/>
        <v>0</v>
      </c>
      <c r="GF126" s="119">
        <f t="shared" si="12"/>
        <v>0</v>
      </c>
      <c r="GG126" s="119">
        <f t="shared" si="12"/>
        <v>0</v>
      </c>
      <c r="GH126" s="119">
        <f t="shared" si="12"/>
        <v>0</v>
      </c>
      <c r="GI126" s="119">
        <f t="shared" si="12"/>
        <v>0</v>
      </c>
      <c r="GJ126" s="119">
        <f t="shared" si="12"/>
        <v>40572.730000000003</v>
      </c>
      <c r="GK126" s="119">
        <f t="shared" ref="GK126:IV126" si="13">+GK125</f>
        <v>118194.26</v>
      </c>
      <c r="GL126" s="119">
        <f t="shared" si="13"/>
        <v>72717.259999999995</v>
      </c>
      <c r="GM126" s="119">
        <f t="shared" si="13"/>
        <v>47202.36</v>
      </c>
      <c r="GN126" s="119">
        <f t="shared" si="13"/>
        <v>0</v>
      </c>
      <c r="GO126" s="119">
        <f t="shared" si="13"/>
        <v>0</v>
      </c>
      <c r="GP126" s="119">
        <f t="shared" si="13"/>
        <v>135724.38</v>
      </c>
      <c r="GQ126" s="119">
        <f t="shared" si="13"/>
        <v>679653.51</v>
      </c>
      <c r="GR126" s="119">
        <f t="shared" si="13"/>
        <v>1605558.15</v>
      </c>
      <c r="GS126" s="119">
        <f t="shared" si="13"/>
        <v>0</v>
      </c>
      <c r="GT126" s="119">
        <f t="shared" si="13"/>
        <v>0</v>
      </c>
      <c r="GU126" s="119">
        <f t="shared" si="13"/>
        <v>0</v>
      </c>
      <c r="GV126" s="119">
        <f t="shared" si="13"/>
        <v>0</v>
      </c>
      <c r="GW126" s="119">
        <f t="shared" si="13"/>
        <v>0</v>
      </c>
      <c r="GX126" s="119">
        <f t="shared" si="13"/>
        <v>0</v>
      </c>
      <c r="GY126" s="119">
        <f t="shared" si="13"/>
        <v>0</v>
      </c>
      <c r="GZ126" s="119">
        <f t="shared" si="13"/>
        <v>0</v>
      </c>
      <c r="HA126" s="119">
        <f t="shared" si="13"/>
        <v>0</v>
      </c>
      <c r="HB126" s="119">
        <f t="shared" si="13"/>
        <v>0</v>
      </c>
      <c r="HC126" s="119">
        <f t="shared" si="13"/>
        <v>0</v>
      </c>
      <c r="HD126" s="119">
        <f t="shared" si="13"/>
        <v>15963.52</v>
      </c>
      <c r="HE126" s="119">
        <f t="shared" si="13"/>
        <v>0</v>
      </c>
      <c r="HF126" s="119">
        <f t="shared" si="13"/>
        <v>3389717.04</v>
      </c>
      <c r="HG126" s="119">
        <f t="shared" si="13"/>
        <v>0</v>
      </c>
      <c r="HH126" s="119">
        <f t="shared" si="13"/>
        <v>0</v>
      </c>
      <c r="HI126" s="119">
        <f t="shared" si="13"/>
        <v>32104.99</v>
      </c>
      <c r="HJ126" s="119">
        <f t="shared" si="13"/>
        <v>97704</v>
      </c>
      <c r="HK126" s="119">
        <f t="shared" si="13"/>
        <v>0</v>
      </c>
      <c r="HL126" s="119">
        <f t="shared" si="13"/>
        <v>0</v>
      </c>
      <c r="HM126" s="119">
        <f t="shared" si="13"/>
        <v>0</v>
      </c>
      <c r="HN126" s="119">
        <f t="shared" si="13"/>
        <v>0</v>
      </c>
      <c r="HO126" s="119">
        <f t="shared" si="13"/>
        <v>0</v>
      </c>
      <c r="HP126" s="119">
        <f t="shared" si="13"/>
        <v>0</v>
      </c>
      <c r="HQ126" s="119">
        <f t="shared" si="13"/>
        <v>0</v>
      </c>
      <c r="HR126" s="119">
        <f t="shared" si="13"/>
        <v>0</v>
      </c>
      <c r="HS126" s="119">
        <f t="shared" si="13"/>
        <v>0</v>
      </c>
      <c r="HT126" s="119">
        <f t="shared" si="13"/>
        <v>0</v>
      </c>
      <c r="HU126" s="119">
        <f t="shared" si="13"/>
        <v>0</v>
      </c>
      <c r="HV126" s="119">
        <f t="shared" si="13"/>
        <v>0</v>
      </c>
      <c r="HW126" s="119">
        <f t="shared" si="13"/>
        <v>0</v>
      </c>
      <c r="HX126" s="119">
        <f t="shared" si="13"/>
        <v>0</v>
      </c>
      <c r="HY126" s="119">
        <f t="shared" si="13"/>
        <v>0</v>
      </c>
      <c r="HZ126" s="119">
        <f t="shared" si="13"/>
        <v>0</v>
      </c>
      <c r="IA126" s="119">
        <f t="shared" si="13"/>
        <v>0</v>
      </c>
      <c r="IB126" s="119">
        <f t="shared" si="13"/>
        <v>0</v>
      </c>
      <c r="IC126" s="119">
        <f t="shared" si="13"/>
        <v>0</v>
      </c>
      <c r="ID126" s="119">
        <f t="shared" si="13"/>
        <v>0</v>
      </c>
      <c r="IE126" s="119">
        <f t="shared" si="13"/>
        <v>0</v>
      </c>
      <c r="IF126" s="119">
        <f t="shared" si="13"/>
        <v>0</v>
      </c>
      <c r="IG126" s="119">
        <f t="shared" si="13"/>
        <v>0</v>
      </c>
      <c r="IH126" s="119">
        <f t="shared" si="13"/>
        <v>0</v>
      </c>
      <c r="II126" s="119">
        <f t="shared" si="13"/>
        <v>0</v>
      </c>
      <c r="IJ126" s="119">
        <f t="shared" si="13"/>
        <v>0</v>
      </c>
      <c r="IK126" s="119">
        <f t="shared" si="13"/>
        <v>0</v>
      </c>
      <c r="IL126" s="119">
        <f t="shared" si="13"/>
        <v>0</v>
      </c>
      <c r="IM126" s="119">
        <f t="shared" si="13"/>
        <v>0</v>
      </c>
      <c r="IN126" s="119">
        <f t="shared" si="13"/>
        <v>0</v>
      </c>
      <c r="IO126" s="119">
        <f t="shared" si="13"/>
        <v>0</v>
      </c>
      <c r="IP126" s="119">
        <f t="shared" si="13"/>
        <v>345560.94</v>
      </c>
      <c r="IQ126" s="119">
        <f t="shared" si="13"/>
        <v>0</v>
      </c>
      <c r="IR126" s="119">
        <f t="shared" si="13"/>
        <v>0</v>
      </c>
      <c r="IS126" s="119">
        <f t="shared" si="13"/>
        <v>0</v>
      </c>
      <c r="IT126" s="119">
        <f t="shared" si="13"/>
        <v>0</v>
      </c>
      <c r="IU126" s="119">
        <f t="shared" si="13"/>
        <v>0</v>
      </c>
      <c r="IV126" s="119">
        <f t="shared" si="13"/>
        <v>0</v>
      </c>
      <c r="IW126" s="119">
        <f t="shared" ref="IW126:JG126" si="14">+IW125</f>
        <v>0</v>
      </c>
      <c r="IX126" s="119">
        <f t="shared" si="14"/>
        <v>0</v>
      </c>
      <c r="IY126" s="119">
        <f t="shared" si="14"/>
        <v>0</v>
      </c>
      <c r="IZ126" s="119">
        <f t="shared" si="14"/>
        <v>0</v>
      </c>
      <c r="JA126" s="119">
        <f t="shared" si="14"/>
        <v>0</v>
      </c>
      <c r="JB126" s="119">
        <f t="shared" si="14"/>
        <v>0</v>
      </c>
      <c r="JC126" s="119">
        <f t="shared" si="14"/>
        <v>0</v>
      </c>
      <c r="JD126" s="119">
        <f t="shared" si="14"/>
        <v>0</v>
      </c>
      <c r="JE126" s="119">
        <f t="shared" si="14"/>
        <v>0</v>
      </c>
      <c r="JF126" s="119">
        <f t="shared" si="14"/>
        <v>0</v>
      </c>
      <c r="JG126" s="119">
        <f t="shared" si="14"/>
        <v>0</v>
      </c>
      <c r="JH126" s="119">
        <f>+JH125</f>
        <v>0</v>
      </c>
      <c r="JI126" s="273"/>
      <c r="JL126" s="274">
        <f t="shared" ref="JL126" si="15">+JI126-JK126</f>
        <v>0</v>
      </c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1"/>
  <sheetViews>
    <sheetView view="pageBreakPreview" topLeftCell="A49" zoomScale="80" zoomScaleNormal="90" zoomScaleSheetLayoutView="80" workbookViewId="0">
      <selection sqref="A1:XFD1048576"/>
    </sheetView>
  </sheetViews>
  <sheetFormatPr baseColWidth="10" defaultColWidth="2.85546875" defaultRowHeight="12.75" x14ac:dyDescent="0.2"/>
  <cols>
    <col min="1" max="5" width="3.5703125" style="3" customWidth="1"/>
    <col min="6" max="6" width="43.7109375" style="3" customWidth="1"/>
    <col min="7" max="7" width="18.28515625" style="3" customWidth="1"/>
    <col min="8" max="8" width="22.5703125" style="3" customWidth="1"/>
    <col min="9" max="9" width="20.42578125" style="3" customWidth="1"/>
    <col min="10" max="10" width="14" style="3" bestFit="1" customWidth="1"/>
    <col min="11" max="11" width="11.42578125" style="3" customWidth="1"/>
    <col min="12" max="12" width="14.5703125" style="3" bestFit="1" customWidth="1"/>
    <col min="13" max="13" width="15" style="3" bestFit="1" customWidth="1"/>
    <col min="14" max="15" width="14.5703125" style="3" bestFit="1" customWidth="1"/>
    <col min="16" max="252" width="11.42578125" style="3" customWidth="1"/>
    <col min="253" max="253" width="3.28515625" style="3" customWidth="1"/>
    <col min="254" max="254" width="4.140625" style="3" customWidth="1"/>
    <col min="255" max="16384" width="2.85546875" style="3"/>
  </cols>
  <sheetData>
    <row r="1" spans="1:14" ht="15" x14ac:dyDescent="0.25">
      <c r="A1" s="94" t="s">
        <v>345</v>
      </c>
      <c r="B1" s="93"/>
      <c r="C1" s="93"/>
      <c r="D1" s="93"/>
      <c r="E1" s="93"/>
      <c r="F1" s="93"/>
      <c r="G1" s="93"/>
      <c r="H1" s="93"/>
      <c r="I1" s="92"/>
      <c r="J1" s="91"/>
    </row>
    <row r="2" spans="1:14" ht="23.25" x14ac:dyDescent="0.35">
      <c r="A2" s="422"/>
      <c r="B2" s="423"/>
      <c r="C2" s="423"/>
      <c r="D2" s="423"/>
      <c r="E2" s="423"/>
      <c r="F2" s="423"/>
      <c r="G2" s="423"/>
      <c r="H2" s="423"/>
      <c r="I2" s="90"/>
      <c r="J2" s="89"/>
    </row>
    <row r="3" spans="1:14" ht="26.25" x14ac:dyDescent="0.4">
      <c r="A3" s="424" t="s">
        <v>344</v>
      </c>
      <c r="B3" s="425"/>
      <c r="C3" s="425"/>
      <c r="D3" s="425"/>
      <c r="E3" s="425"/>
      <c r="F3" s="425"/>
      <c r="G3" s="425"/>
      <c r="H3" s="425"/>
      <c r="I3" s="425"/>
      <c r="J3" s="426"/>
    </row>
    <row r="4" spans="1:14" s="261" customFormat="1" ht="18.75" x14ac:dyDescent="0.3">
      <c r="A4" s="427" t="s">
        <v>420</v>
      </c>
      <c r="B4" s="428"/>
      <c r="C4" s="428"/>
      <c r="D4" s="428"/>
      <c r="E4" s="428"/>
      <c r="F4" s="428"/>
      <c r="G4" s="428"/>
      <c r="H4" s="428"/>
      <c r="I4" s="428"/>
      <c r="J4" s="429"/>
    </row>
    <row r="5" spans="1:14" ht="15" x14ac:dyDescent="0.25">
      <c r="A5" s="430" t="s">
        <v>343</v>
      </c>
      <c r="B5" s="431"/>
      <c r="C5" s="431"/>
      <c r="D5" s="431"/>
      <c r="E5" s="431"/>
      <c r="F5" s="431"/>
      <c r="G5" s="431"/>
      <c r="H5" s="431"/>
      <c r="I5" s="431"/>
      <c r="J5" s="432"/>
    </row>
    <row r="6" spans="1:14" ht="15.75" x14ac:dyDescent="0.25">
      <c r="A6" s="433" t="s">
        <v>665</v>
      </c>
      <c r="B6" s="434"/>
      <c r="C6" s="434"/>
      <c r="D6" s="434"/>
      <c r="E6" s="434"/>
      <c r="F6" s="434"/>
      <c r="G6" s="434"/>
      <c r="H6" s="434"/>
      <c r="I6" s="434"/>
      <c r="J6" s="435"/>
    </row>
    <row r="7" spans="1:14" ht="15.75" x14ac:dyDescent="0.25">
      <c r="A7" s="436" t="s">
        <v>839</v>
      </c>
      <c r="B7" s="437"/>
      <c r="C7" s="437"/>
      <c r="D7" s="437"/>
      <c r="E7" s="437"/>
      <c r="F7" s="437"/>
      <c r="G7" s="437"/>
      <c r="H7" s="437"/>
      <c r="I7" s="437"/>
      <c r="J7" s="438"/>
    </row>
    <row r="8" spans="1:14" ht="15.75" x14ac:dyDescent="0.25">
      <c r="A8" s="88"/>
      <c r="B8" s="87"/>
      <c r="C8" s="87" t="s">
        <v>342</v>
      </c>
      <c r="D8" s="87"/>
      <c r="E8" s="87"/>
      <c r="F8" s="87"/>
      <c r="G8" s="87"/>
      <c r="H8" s="87"/>
      <c r="I8" s="87"/>
      <c r="J8" s="86"/>
    </row>
    <row r="9" spans="1:14" ht="15.75" x14ac:dyDescent="0.25">
      <c r="A9" s="73"/>
      <c r="B9" s="72"/>
      <c r="C9" s="72"/>
      <c r="D9" s="72"/>
      <c r="E9" s="85" t="s">
        <v>341</v>
      </c>
      <c r="F9" s="60"/>
      <c r="G9" s="84"/>
      <c r="H9" s="84"/>
      <c r="I9" s="84"/>
      <c r="J9" s="59"/>
    </row>
    <row r="10" spans="1:14" ht="15.75" x14ac:dyDescent="0.25">
      <c r="A10" s="73"/>
      <c r="B10" s="72"/>
      <c r="C10" s="72"/>
      <c r="D10" s="72"/>
      <c r="E10" s="77" t="s">
        <v>339</v>
      </c>
      <c r="F10" s="60"/>
      <c r="G10" s="74"/>
      <c r="H10" s="81" t="s">
        <v>338</v>
      </c>
      <c r="I10" s="74"/>
      <c r="J10" s="59"/>
      <c r="L10" s="121" t="s">
        <v>382</v>
      </c>
    </row>
    <row r="11" spans="1:14" ht="15.75" x14ac:dyDescent="0.25">
      <c r="A11" s="73"/>
      <c r="B11" s="72"/>
      <c r="C11" s="72"/>
      <c r="D11" s="72"/>
      <c r="E11" s="77" t="s">
        <v>334</v>
      </c>
      <c r="F11" s="60"/>
      <c r="G11" s="74"/>
      <c r="H11" s="83"/>
      <c r="I11" s="78"/>
      <c r="J11" s="59"/>
    </row>
    <row r="12" spans="1:14" ht="15.75" x14ac:dyDescent="0.25">
      <c r="A12" s="73"/>
      <c r="B12" s="72"/>
      <c r="C12" s="72"/>
      <c r="D12" s="72"/>
      <c r="E12" s="77" t="s">
        <v>333</v>
      </c>
      <c r="F12" s="60"/>
      <c r="G12" s="80">
        <v>1731116.63</v>
      </c>
      <c r="H12" s="79"/>
      <c r="I12" s="78"/>
      <c r="J12" s="59"/>
    </row>
    <row r="13" spans="1:14" ht="15.75" x14ac:dyDescent="0.25">
      <c r="A13" s="73"/>
      <c r="B13" s="72"/>
      <c r="C13" s="72"/>
      <c r="D13" s="72"/>
      <c r="E13" s="82" t="s">
        <v>340</v>
      </c>
      <c r="F13" s="60"/>
      <c r="G13" s="78"/>
      <c r="H13" s="78"/>
      <c r="I13" s="78"/>
      <c r="J13" s="59"/>
    </row>
    <row r="14" spans="1:14" ht="15.75" x14ac:dyDescent="0.25">
      <c r="A14" s="73"/>
      <c r="B14" s="72"/>
      <c r="C14" s="72"/>
      <c r="D14" s="72"/>
      <c r="E14" s="77" t="s">
        <v>339</v>
      </c>
      <c r="F14" s="60"/>
      <c r="G14" s="74">
        <v>0</v>
      </c>
      <c r="H14" s="81" t="s">
        <v>338</v>
      </c>
      <c r="I14" s="74">
        <f>+'INGR SEGUN ORIGEN'!E37</f>
        <v>574300</v>
      </c>
      <c r="J14" s="353"/>
      <c r="L14" s="3" t="s">
        <v>337</v>
      </c>
      <c r="M14" s="3" t="s">
        <v>336</v>
      </c>
      <c r="N14" s="3" t="s">
        <v>335</v>
      </c>
    </row>
    <row r="15" spans="1:14" ht="15.75" x14ac:dyDescent="0.25">
      <c r="A15" s="73"/>
      <c r="B15" s="72"/>
      <c r="C15" s="72"/>
      <c r="D15" s="72"/>
      <c r="E15" s="77" t="s">
        <v>334</v>
      </c>
      <c r="F15" s="60"/>
      <c r="G15" s="80">
        <f>+'INGR SEGUN ORIGEN'!E12</f>
        <v>100316795.08</v>
      </c>
      <c r="H15" s="79" t="s">
        <v>325</v>
      </c>
      <c r="I15" s="74">
        <v>0</v>
      </c>
      <c r="J15" s="353"/>
      <c r="L15" s="3">
        <v>2.1</v>
      </c>
      <c r="M15" s="58">
        <f>G26</f>
        <v>66630550.850000001</v>
      </c>
      <c r="N15" s="58">
        <f>H26</f>
        <v>0</v>
      </c>
    </row>
    <row r="16" spans="1:14" ht="15.75" x14ac:dyDescent="0.25">
      <c r="A16" s="73"/>
      <c r="B16" s="72"/>
      <c r="C16" s="72"/>
      <c r="D16" s="72"/>
      <c r="E16" s="77" t="s">
        <v>333</v>
      </c>
      <c r="F16" s="60"/>
      <c r="G16" s="80">
        <f>+'INGR SEGUN ORIGEN'!E29</f>
        <v>7518709.1100000003</v>
      </c>
      <c r="H16" s="79"/>
      <c r="I16" s="78"/>
      <c r="J16" s="59"/>
      <c r="L16" s="3">
        <v>2.2000000000000002</v>
      </c>
      <c r="M16" s="58">
        <f>G87</f>
        <v>1680824.82</v>
      </c>
      <c r="N16" s="58">
        <f>H87</f>
        <v>2044062.5999999999</v>
      </c>
    </row>
    <row r="17" spans="1:16" ht="15.75" x14ac:dyDescent="0.25">
      <c r="A17" s="73"/>
      <c r="B17" s="72"/>
      <c r="C17" s="72"/>
      <c r="D17" s="72"/>
      <c r="E17" s="77"/>
      <c r="F17" s="60"/>
      <c r="G17" s="76"/>
      <c r="H17" s="75" t="s">
        <v>332</v>
      </c>
      <c r="I17" s="74">
        <f>+G10+G11+G12+I10+G14+G15+G16+I14+I15</f>
        <v>110140920.81999999</v>
      </c>
      <c r="J17" s="59"/>
      <c r="L17" s="3">
        <v>2.2999999999999998</v>
      </c>
      <c r="M17" s="58">
        <f>'CONS. FUENTES FINAN'!G212</f>
        <v>16608513.620000001</v>
      </c>
      <c r="N17" s="58">
        <f>'CONS. FUENTES FINAN'!H212</f>
        <v>2557401.6</v>
      </c>
    </row>
    <row r="18" spans="1:16" ht="15.75" x14ac:dyDescent="0.25">
      <c r="A18" s="73"/>
      <c r="B18" s="72"/>
      <c r="C18" s="72"/>
      <c r="D18" s="72"/>
      <c r="E18" s="71"/>
      <c r="F18" s="70"/>
      <c r="G18" s="69"/>
      <c r="H18" s="69"/>
      <c r="I18" s="60"/>
      <c r="J18" s="59"/>
      <c r="L18" s="3">
        <v>2.4</v>
      </c>
      <c r="M18" s="58">
        <f>G330</f>
        <v>0</v>
      </c>
      <c r="N18" s="58">
        <f>H330</f>
        <v>480808</v>
      </c>
    </row>
    <row r="19" spans="1:16" ht="15.75" x14ac:dyDescent="0.25">
      <c r="A19" s="68"/>
      <c r="B19" s="66"/>
      <c r="C19" s="67"/>
      <c r="D19" s="66"/>
      <c r="E19" s="65"/>
      <c r="F19" s="64"/>
      <c r="G19" s="64"/>
      <c r="H19" s="64"/>
      <c r="I19" s="63"/>
      <c r="J19" s="62"/>
      <c r="L19" s="3">
        <v>2.6</v>
      </c>
      <c r="M19" s="58">
        <f>G336</f>
        <v>6580673.1400000015</v>
      </c>
      <c r="N19" s="58">
        <f>H336</f>
        <v>3927042.19</v>
      </c>
    </row>
    <row r="20" spans="1:16" x14ac:dyDescent="0.2">
      <c r="A20" s="61"/>
      <c r="B20" s="60"/>
      <c r="C20" s="60"/>
      <c r="D20" s="60"/>
      <c r="E20" s="60"/>
      <c r="F20" s="60"/>
      <c r="G20" s="60"/>
      <c r="H20" s="60"/>
      <c r="I20" s="60"/>
      <c r="J20" s="59"/>
      <c r="L20" s="3">
        <v>2.7</v>
      </c>
      <c r="M20" s="58">
        <f>'CONS. FUENTES FINAN'!G463</f>
        <v>0</v>
      </c>
      <c r="N20" s="58">
        <f>'CONS. FUENTES FINAN'!H463</f>
        <v>0</v>
      </c>
    </row>
    <row r="21" spans="1:16" x14ac:dyDescent="0.2">
      <c r="A21" s="439">
        <v>1</v>
      </c>
      <c r="B21" s="439"/>
      <c r="C21" s="439"/>
      <c r="D21" s="439"/>
      <c r="E21" s="439"/>
      <c r="F21" s="57">
        <v>2</v>
      </c>
      <c r="G21" s="440">
        <v>3</v>
      </c>
      <c r="H21" s="441"/>
      <c r="I21" s="56">
        <v>4</v>
      </c>
      <c r="J21" s="56">
        <v>5</v>
      </c>
    </row>
    <row r="22" spans="1:16" ht="24" customHeight="1" x14ac:dyDescent="0.2">
      <c r="A22" s="442" t="s">
        <v>331</v>
      </c>
      <c r="B22" s="442"/>
      <c r="C22" s="442"/>
      <c r="D22" s="442"/>
      <c r="E22" s="442"/>
      <c r="F22" s="416" t="s">
        <v>330</v>
      </c>
      <c r="G22" s="419" t="s">
        <v>329</v>
      </c>
      <c r="H22" s="420"/>
      <c r="I22" s="411" t="s">
        <v>328</v>
      </c>
      <c r="J22" s="443" t="s">
        <v>72</v>
      </c>
    </row>
    <row r="23" spans="1:16" ht="29.25" customHeight="1" x14ac:dyDescent="0.2">
      <c r="A23" s="446" t="s">
        <v>76</v>
      </c>
      <c r="B23" s="446" t="s">
        <v>75</v>
      </c>
      <c r="C23" s="446" t="s">
        <v>74</v>
      </c>
      <c r="D23" s="446" t="s">
        <v>327</v>
      </c>
      <c r="E23" s="446" t="s">
        <v>73</v>
      </c>
      <c r="F23" s="417"/>
      <c r="G23" s="414" t="s">
        <v>423</v>
      </c>
      <c r="H23" s="414" t="s">
        <v>326</v>
      </c>
      <c r="I23" s="412"/>
      <c r="J23" s="444"/>
      <c r="L23" s="421"/>
      <c r="M23" s="421"/>
      <c r="N23" s="421"/>
      <c r="O23" s="421"/>
      <c r="P23" s="421"/>
    </row>
    <row r="24" spans="1:16" ht="18.75" customHeight="1" x14ac:dyDescent="0.2">
      <c r="A24" s="447"/>
      <c r="B24" s="447"/>
      <c r="C24" s="447"/>
      <c r="D24" s="447"/>
      <c r="E24" s="447"/>
      <c r="F24" s="418"/>
      <c r="G24" s="415"/>
      <c r="H24" s="415"/>
      <c r="I24" s="413"/>
      <c r="J24" s="445"/>
      <c r="L24" s="55"/>
      <c r="M24" s="55"/>
      <c r="N24" s="55"/>
      <c r="O24" s="55"/>
      <c r="P24" s="55"/>
    </row>
    <row r="25" spans="1:16" ht="13.5" thickBot="1" x14ac:dyDescent="0.25">
      <c r="A25" s="54">
        <v>2</v>
      </c>
      <c r="B25" s="53"/>
      <c r="C25" s="53"/>
      <c r="D25" s="53"/>
      <c r="E25" s="53"/>
      <c r="F25" s="52" t="s">
        <v>324</v>
      </c>
      <c r="G25" s="51">
        <f>+G26+G87+G212+G330+G336+G463</f>
        <v>91500562.430000007</v>
      </c>
      <c r="H25" s="51">
        <f>+H26+H87+H212+H330+H336+H463</f>
        <v>9009314.3900000006</v>
      </c>
      <c r="I25" s="51">
        <f>SUM(G25:H25)</f>
        <v>100509876.82000001</v>
      </c>
      <c r="J25" s="50">
        <f>+J26+J87+J212+J330+J336+J463</f>
        <v>1</v>
      </c>
    </row>
    <row r="26" spans="1:16" ht="13.5" thickTop="1" x14ac:dyDescent="0.2">
      <c r="A26" s="49">
        <v>2</v>
      </c>
      <c r="B26" s="48">
        <v>1</v>
      </c>
      <c r="C26" s="48"/>
      <c r="D26" s="48"/>
      <c r="E26" s="48"/>
      <c r="F26" s="47" t="s">
        <v>323</v>
      </c>
      <c r="G26" s="46">
        <f>+G27+G51+G64+G71+G78</f>
        <v>66630550.850000001</v>
      </c>
      <c r="H26" s="46">
        <f>+H27+H51+H64+H71+H78</f>
        <v>0</v>
      </c>
      <c r="I26" s="46">
        <f t="shared" ref="I26:I88" si="0">SUM(G26:H26)</f>
        <v>66630550.850000001</v>
      </c>
      <c r="J26" s="19">
        <f>I26/$I$25</f>
        <v>0.66292540552334545</v>
      </c>
    </row>
    <row r="27" spans="1:16" x14ac:dyDescent="0.2">
      <c r="A27" s="30">
        <v>2</v>
      </c>
      <c r="B27" s="22">
        <v>1</v>
      </c>
      <c r="C27" s="22">
        <v>1</v>
      </c>
      <c r="D27" s="22"/>
      <c r="E27" s="22"/>
      <c r="F27" s="30" t="s">
        <v>322</v>
      </c>
      <c r="G27" s="20">
        <f>+G28+G35+G42+G44+G46</f>
        <v>54445140.43</v>
      </c>
      <c r="H27" s="20">
        <f>+H28+H35+H42+H44+H46</f>
        <v>0</v>
      </c>
      <c r="I27" s="20">
        <f t="shared" si="0"/>
        <v>54445140.43</v>
      </c>
      <c r="J27" s="19">
        <f>I27/$I$25</f>
        <v>0.54168945533088353</v>
      </c>
    </row>
    <row r="28" spans="1:16" x14ac:dyDescent="0.2">
      <c r="A28" s="16">
        <v>2</v>
      </c>
      <c r="B28" s="15">
        <v>1</v>
      </c>
      <c r="C28" s="15">
        <v>1</v>
      </c>
      <c r="D28" s="15">
        <v>1</v>
      </c>
      <c r="E28" s="15"/>
      <c r="F28" s="16" t="s">
        <v>321</v>
      </c>
      <c r="G28" s="12">
        <f>SUM(G29:G34)</f>
        <v>53314609.399999999</v>
      </c>
      <c r="H28" s="12">
        <f>SUM(H29:H34)</f>
        <v>0</v>
      </c>
      <c r="I28" s="12">
        <f t="shared" si="0"/>
        <v>53314609.399999999</v>
      </c>
      <c r="J28" s="292">
        <f>I28/$I$25</f>
        <v>0.53044149576941046</v>
      </c>
    </row>
    <row r="29" spans="1:16" x14ac:dyDescent="0.2">
      <c r="A29" s="10">
        <v>2</v>
      </c>
      <c r="B29" s="9">
        <v>1</v>
      </c>
      <c r="C29" s="9">
        <v>1</v>
      </c>
      <c r="D29" s="9">
        <v>1</v>
      </c>
      <c r="E29" s="24" t="s">
        <v>44</v>
      </c>
      <c r="F29" s="10" t="s">
        <v>387</v>
      </c>
      <c r="G29" s="7">
        <f>'CUENTA T FONDO 100'!A126</f>
        <v>53314609.399999999</v>
      </c>
      <c r="H29" s="7">
        <f>'CUENTA T VS'!A106</f>
        <v>0</v>
      </c>
      <c r="I29" s="7">
        <f t="shared" si="0"/>
        <v>53314609.399999999</v>
      </c>
      <c r="J29" s="6">
        <f t="shared" ref="J29:J34" si="1">I29/$I$25</f>
        <v>0.53044149576941046</v>
      </c>
    </row>
    <row r="30" spans="1:16" x14ac:dyDescent="0.2">
      <c r="A30" s="10">
        <v>2</v>
      </c>
      <c r="B30" s="9">
        <v>1</v>
      </c>
      <c r="C30" s="9">
        <v>1</v>
      </c>
      <c r="D30" s="9">
        <v>1</v>
      </c>
      <c r="E30" s="24" t="s">
        <v>43</v>
      </c>
      <c r="F30" s="43" t="s">
        <v>320</v>
      </c>
      <c r="G30" s="7">
        <f>'CUENTA T FONDO 100'!B126</f>
        <v>0</v>
      </c>
      <c r="H30" s="7">
        <f>'CUENTA T VS'!B106</f>
        <v>0</v>
      </c>
      <c r="I30" s="7">
        <f t="shared" si="0"/>
        <v>0</v>
      </c>
      <c r="J30" s="6">
        <f>I30/$I$25</f>
        <v>0</v>
      </c>
    </row>
    <row r="31" spans="1:16" x14ac:dyDescent="0.2">
      <c r="A31" s="10">
        <v>2</v>
      </c>
      <c r="B31" s="9">
        <v>1</v>
      </c>
      <c r="C31" s="9">
        <v>1</v>
      </c>
      <c r="D31" s="9">
        <v>1</v>
      </c>
      <c r="E31" s="24" t="s">
        <v>104</v>
      </c>
      <c r="F31" s="43" t="s">
        <v>319</v>
      </c>
      <c r="G31" s="7">
        <f>'CUENTA T FONDO 100'!C126</f>
        <v>0</v>
      </c>
      <c r="H31" s="7">
        <f>'CUENTA T VS'!C106</f>
        <v>0</v>
      </c>
      <c r="I31" s="7">
        <f t="shared" si="0"/>
        <v>0</v>
      </c>
      <c r="J31" s="6">
        <f t="shared" si="1"/>
        <v>0</v>
      </c>
    </row>
    <row r="32" spans="1:16" x14ac:dyDescent="0.2">
      <c r="A32" s="10">
        <v>2</v>
      </c>
      <c r="B32" s="9">
        <v>1</v>
      </c>
      <c r="C32" s="9">
        <v>1</v>
      </c>
      <c r="D32" s="9">
        <v>1</v>
      </c>
      <c r="E32" s="24" t="s">
        <v>172</v>
      </c>
      <c r="F32" s="43" t="s">
        <v>318</v>
      </c>
      <c r="G32" s="7">
        <f>'CUENTA T FONDO 100'!D126</f>
        <v>0</v>
      </c>
      <c r="H32" s="7">
        <f>'CUENTA T VS'!D106</f>
        <v>0</v>
      </c>
      <c r="I32" s="7">
        <f t="shared" si="0"/>
        <v>0</v>
      </c>
      <c r="J32" s="6">
        <f t="shared" si="1"/>
        <v>0</v>
      </c>
    </row>
    <row r="33" spans="1:10" x14ac:dyDescent="0.2">
      <c r="A33" s="10">
        <v>2</v>
      </c>
      <c r="B33" s="9">
        <v>1</v>
      </c>
      <c r="C33" s="9">
        <v>1</v>
      </c>
      <c r="D33" s="9">
        <v>1</v>
      </c>
      <c r="E33" s="24" t="s">
        <v>170</v>
      </c>
      <c r="F33" s="43" t="s">
        <v>317</v>
      </c>
      <c r="G33" s="7">
        <f>'CUENTA T FONDO 100'!E126</f>
        <v>0</v>
      </c>
      <c r="H33" s="7">
        <f>'CUENTA T VS'!E106</f>
        <v>0</v>
      </c>
      <c r="I33" s="7">
        <f t="shared" si="0"/>
        <v>0</v>
      </c>
      <c r="J33" s="6">
        <f t="shared" si="1"/>
        <v>0</v>
      </c>
    </row>
    <row r="34" spans="1:10" x14ac:dyDescent="0.2">
      <c r="A34" s="10">
        <v>2</v>
      </c>
      <c r="B34" s="9">
        <v>1</v>
      </c>
      <c r="C34" s="9">
        <v>1</v>
      </c>
      <c r="D34" s="9">
        <v>1</v>
      </c>
      <c r="E34" s="24" t="s">
        <v>61</v>
      </c>
      <c r="F34" s="43" t="s">
        <v>386</v>
      </c>
      <c r="G34" s="7">
        <f>'CUENTA T FONDO 100'!F126</f>
        <v>0</v>
      </c>
      <c r="H34" s="7">
        <f>'CUENTA T VS'!F106</f>
        <v>0</v>
      </c>
      <c r="I34" s="7">
        <f t="shared" si="0"/>
        <v>0</v>
      </c>
      <c r="J34" s="6">
        <f t="shared" si="1"/>
        <v>0</v>
      </c>
    </row>
    <row r="35" spans="1:10" x14ac:dyDescent="0.2">
      <c r="A35" s="16">
        <v>2</v>
      </c>
      <c r="B35" s="15">
        <v>1</v>
      </c>
      <c r="C35" s="15">
        <v>1</v>
      </c>
      <c r="D35" s="15">
        <v>2</v>
      </c>
      <c r="E35" s="15"/>
      <c r="F35" s="44" t="s">
        <v>316</v>
      </c>
      <c r="G35" s="12">
        <f>SUM(G36:G41)</f>
        <v>1130531.03</v>
      </c>
      <c r="H35" s="12">
        <f>SUM(H36:H41)</f>
        <v>0</v>
      </c>
      <c r="I35" s="12">
        <f t="shared" si="0"/>
        <v>1130531.03</v>
      </c>
      <c r="J35" s="11"/>
    </row>
    <row r="36" spans="1:10" x14ac:dyDescent="0.2">
      <c r="A36" s="10">
        <v>2</v>
      </c>
      <c r="B36" s="9">
        <v>1</v>
      </c>
      <c r="C36" s="9">
        <v>1</v>
      </c>
      <c r="D36" s="9">
        <v>2</v>
      </c>
      <c r="E36" s="24" t="s">
        <v>104</v>
      </c>
      <c r="F36" s="43" t="s">
        <v>315</v>
      </c>
      <c r="G36" s="7">
        <f>'CUENTA T FONDO 100'!G126</f>
        <v>0</v>
      </c>
      <c r="H36" s="7">
        <f>'CUENTA T VS'!G106</f>
        <v>0</v>
      </c>
      <c r="I36" s="7">
        <f t="shared" si="0"/>
        <v>0</v>
      </c>
      <c r="J36" s="6">
        <f t="shared" ref="J36:J41" si="2">I36/$I$25</f>
        <v>0</v>
      </c>
    </row>
    <row r="37" spans="1:10" x14ac:dyDescent="0.2">
      <c r="A37" s="10">
        <v>2</v>
      </c>
      <c r="B37" s="9">
        <v>1</v>
      </c>
      <c r="C37" s="9">
        <v>1</v>
      </c>
      <c r="D37" s="9">
        <v>2</v>
      </c>
      <c r="E37" s="24" t="s">
        <v>170</v>
      </c>
      <c r="F37" s="43" t="s">
        <v>314</v>
      </c>
      <c r="G37" s="7">
        <f>'CUENTA T FONDO 100'!H126</f>
        <v>0</v>
      </c>
      <c r="H37" s="7">
        <f>'CUENTA T VS'!H106</f>
        <v>0</v>
      </c>
      <c r="I37" s="7">
        <f t="shared" si="0"/>
        <v>0</v>
      </c>
      <c r="J37" s="6">
        <f t="shared" si="2"/>
        <v>0</v>
      </c>
    </row>
    <row r="38" spans="1:10" x14ac:dyDescent="0.2">
      <c r="A38" s="10">
        <v>2</v>
      </c>
      <c r="B38" s="9">
        <v>1</v>
      </c>
      <c r="C38" s="9">
        <v>1</v>
      </c>
      <c r="D38" s="9">
        <v>2</v>
      </c>
      <c r="E38" s="24" t="s">
        <v>61</v>
      </c>
      <c r="F38" s="43" t="s">
        <v>313</v>
      </c>
      <c r="G38" s="7">
        <f>'CUENTA T FONDO 100'!I126</f>
        <v>0</v>
      </c>
      <c r="H38" s="7">
        <f>'CUENTA T VS'!I106</f>
        <v>0</v>
      </c>
      <c r="I38" s="7">
        <f t="shared" si="0"/>
        <v>0</v>
      </c>
      <c r="J38" s="6">
        <f t="shared" si="2"/>
        <v>0</v>
      </c>
    </row>
    <row r="39" spans="1:10" x14ac:dyDescent="0.2">
      <c r="A39" s="10">
        <v>2</v>
      </c>
      <c r="B39" s="9">
        <v>1</v>
      </c>
      <c r="C39" s="9">
        <v>1</v>
      </c>
      <c r="D39" s="9">
        <v>2</v>
      </c>
      <c r="E39" s="24" t="s">
        <v>234</v>
      </c>
      <c r="F39" s="43" t="s">
        <v>388</v>
      </c>
      <c r="G39" s="7">
        <f>'CUENTA T FONDO 100'!J126</f>
        <v>1130531.03</v>
      </c>
      <c r="H39" s="7">
        <f>'CUENTA T VS'!J106</f>
        <v>0</v>
      </c>
      <c r="I39" s="7">
        <f t="shared" si="0"/>
        <v>1130531.03</v>
      </c>
      <c r="J39" s="6">
        <f t="shared" si="2"/>
        <v>1.1247959561473075E-2</v>
      </c>
    </row>
    <row r="40" spans="1:10" x14ac:dyDescent="0.2">
      <c r="A40" s="10">
        <v>2</v>
      </c>
      <c r="B40" s="9">
        <v>1</v>
      </c>
      <c r="C40" s="9">
        <v>1</v>
      </c>
      <c r="D40" s="9">
        <v>2</v>
      </c>
      <c r="E40" s="24" t="s">
        <v>300</v>
      </c>
      <c r="F40" s="43" t="s">
        <v>383</v>
      </c>
      <c r="G40" s="7">
        <f>'CUENTA T FONDO 100'!K126</f>
        <v>0</v>
      </c>
      <c r="H40" s="7">
        <f>'CUENTA T VS'!K106</f>
        <v>0</v>
      </c>
      <c r="I40" s="7">
        <f t="shared" si="0"/>
        <v>0</v>
      </c>
      <c r="J40" s="6">
        <f t="shared" si="2"/>
        <v>0</v>
      </c>
    </row>
    <row r="41" spans="1:10" x14ac:dyDescent="0.2">
      <c r="A41" s="10">
        <v>2</v>
      </c>
      <c r="B41" s="9">
        <v>1</v>
      </c>
      <c r="C41" s="9">
        <v>1</v>
      </c>
      <c r="D41" s="9">
        <v>2</v>
      </c>
      <c r="E41" s="24" t="s">
        <v>380</v>
      </c>
      <c r="F41" s="43" t="s">
        <v>389</v>
      </c>
      <c r="G41" s="7">
        <f>'CUENTA T FONDO 100'!L126</f>
        <v>0</v>
      </c>
      <c r="H41" s="7">
        <f>'CUENTA T VS'!L106</f>
        <v>0</v>
      </c>
      <c r="I41" s="7">
        <f t="shared" si="0"/>
        <v>0</v>
      </c>
      <c r="J41" s="6">
        <f t="shared" si="2"/>
        <v>0</v>
      </c>
    </row>
    <row r="42" spans="1:10" x14ac:dyDescent="0.2">
      <c r="A42" s="16">
        <v>2</v>
      </c>
      <c r="B42" s="15">
        <v>1</v>
      </c>
      <c r="C42" s="15">
        <v>1</v>
      </c>
      <c r="D42" s="15">
        <v>3</v>
      </c>
      <c r="E42" s="15"/>
      <c r="F42" s="44" t="s">
        <v>312</v>
      </c>
      <c r="G42" s="12">
        <f>SUM(G43)</f>
        <v>0</v>
      </c>
      <c r="H42" s="12">
        <f>SUM(H43)</f>
        <v>0</v>
      </c>
      <c r="I42" s="12">
        <f t="shared" si="0"/>
        <v>0</v>
      </c>
      <c r="J42" s="11"/>
    </row>
    <row r="43" spans="1:10" x14ac:dyDescent="0.2">
      <c r="A43" s="10">
        <v>2</v>
      </c>
      <c r="B43" s="9">
        <v>1</v>
      </c>
      <c r="C43" s="9">
        <v>1</v>
      </c>
      <c r="D43" s="9">
        <v>3</v>
      </c>
      <c r="E43" s="24" t="s">
        <v>44</v>
      </c>
      <c r="F43" s="43" t="s">
        <v>312</v>
      </c>
      <c r="G43" s="7">
        <f>'CUENTA T FONDO 100'!M126</f>
        <v>0</v>
      </c>
      <c r="H43" s="7">
        <f>'CUENTA T VS'!M106</f>
        <v>0</v>
      </c>
      <c r="I43" s="7">
        <f t="shared" si="0"/>
        <v>0</v>
      </c>
      <c r="J43" s="6">
        <f>I43/$I$25</f>
        <v>0</v>
      </c>
    </row>
    <row r="44" spans="1:10" x14ac:dyDescent="0.2">
      <c r="A44" s="16">
        <v>2</v>
      </c>
      <c r="B44" s="15">
        <v>1</v>
      </c>
      <c r="C44" s="15">
        <v>1</v>
      </c>
      <c r="D44" s="15">
        <v>4</v>
      </c>
      <c r="E44" s="15"/>
      <c r="F44" s="44" t="s">
        <v>390</v>
      </c>
      <c r="G44" s="12">
        <f>SUM(G45)</f>
        <v>0</v>
      </c>
      <c r="H44" s="12">
        <f>SUM(H45)</f>
        <v>0</v>
      </c>
      <c r="I44" s="12">
        <f t="shared" si="0"/>
        <v>0</v>
      </c>
      <c r="J44" s="11"/>
    </row>
    <row r="45" spans="1:10" x14ac:dyDescent="0.2">
      <c r="A45" s="10">
        <v>2</v>
      </c>
      <c r="B45" s="9">
        <v>1</v>
      </c>
      <c r="C45" s="9">
        <v>1</v>
      </c>
      <c r="D45" s="9">
        <v>4</v>
      </c>
      <c r="E45" s="24" t="s">
        <v>44</v>
      </c>
      <c r="F45" s="43" t="s">
        <v>390</v>
      </c>
      <c r="G45" s="7">
        <f>'CUENTA T FONDO 100'!N126</f>
        <v>0</v>
      </c>
      <c r="H45" s="7">
        <f>'CUENTA T VS'!N106</f>
        <v>0</v>
      </c>
      <c r="I45" s="7">
        <f t="shared" si="0"/>
        <v>0</v>
      </c>
      <c r="J45" s="6">
        <f>I45/$I$25</f>
        <v>0</v>
      </c>
    </row>
    <row r="46" spans="1:10" x14ac:dyDescent="0.2">
      <c r="A46" s="16">
        <v>2</v>
      </c>
      <c r="B46" s="15">
        <v>1</v>
      </c>
      <c r="C46" s="15">
        <v>1</v>
      </c>
      <c r="D46" s="15">
        <v>5</v>
      </c>
      <c r="E46" s="15"/>
      <c r="F46" s="44" t="s">
        <v>391</v>
      </c>
      <c r="G46" s="12">
        <f>SUM(G47:G50)</f>
        <v>0</v>
      </c>
      <c r="H46" s="12">
        <f>SUM(H47:H50)</f>
        <v>0</v>
      </c>
      <c r="I46" s="12">
        <f t="shared" si="0"/>
        <v>0</v>
      </c>
      <c r="J46" s="11"/>
    </row>
    <row r="47" spans="1:10" x14ac:dyDescent="0.2">
      <c r="A47" s="10">
        <v>2</v>
      </c>
      <c r="B47" s="9">
        <v>1</v>
      </c>
      <c r="C47" s="9">
        <v>1</v>
      </c>
      <c r="D47" s="9">
        <v>5</v>
      </c>
      <c r="E47" s="24" t="s">
        <v>44</v>
      </c>
      <c r="F47" s="43" t="s">
        <v>391</v>
      </c>
      <c r="G47" s="7">
        <f>'CUENTA T FONDO 100'!O126</f>
        <v>0</v>
      </c>
      <c r="H47" s="7">
        <f>'CUENTA T VS'!O106</f>
        <v>0</v>
      </c>
      <c r="I47" s="7">
        <f t="shared" si="0"/>
        <v>0</v>
      </c>
      <c r="J47" s="6">
        <f>I47/$I$25</f>
        <v>0</v>
      </c>
    </row>
    <row r="48" spans="1:10" x14ac:dyDescent="0.2">
      <c r="A48" s="10">
        <v>2</v>
      </c>
      <c r="B48" s="9">
        <v>1</v>
      </c>
      <c r="C48" s="9">
        <v>1</v>
      </c>
      <c r="D48" s="9">
        <v>5</v>
      </c>
      <c r="E48" s="24" t="s">
        <v>43</v>
      </c>
      <c r="F48" s="43" t="s">
        <v>311</v>
      </c>
      <c r="G48" s="7">
        <f>'CUENTA T FONDO 100'!P126</f>
        <v>0</v>
      </c>
      <c r="H48" s="7">
        <f>'CUENTA T VS'!P106</f>
        <v>0</v>
      </c>
      <c r="I48" s="7">
        <f t="shared" si="0"/>
        <v>0</v>
      </c>
      <c r="J48" s="6">
        <f>I48/$I$25</f>
        <v>0</v>
      </c>
    </row>
    <row r="49" spans="1:10" x14ac:dyDescent="0.2">
      <c r="A49" s="10">
        <v>2</v>
      </c>
      <c r="B49" s="9">
        <v>1</v>
      </c>
      <c r="C49" s="9">
        <v>1</v>
      </c>
      <c r="D49" s="9">
        <v>5</v>
      </c>
      <c r="E49" s="24" t="s">
        <v>104</v>
      </c>
      <c r="F49" s="43" t="s">
        <v>310</v>
      </c>
      <c r="G49" s="7">
        <f>'CUENTA T FONDO 100'!Q126</f>
        <v>0</v>
      </c>
      <c r="H49" s="7">
        <f>'CUENTA T VS'!Q106</f>
        <v>0</v>
      </c>
      <c r="I49" s="7">
        <f t="shared" si="0"/>
        <v>0</v>
      </c>
      <c r="J49" s="6">
        <f>I49/$I$25</f>
        <v>0</v>
      </c>
    </row>
    <row r="50" spans="1:10" x14ac:dyDescent="0.2">
      <c r="A50" s="10">
        <v>2</v>
      </c>
      <c r="B50" s="9">
        <v>1</v>
      </c>
      <c r="C50" s="9">
        <v>1</v>
      </c>
      <c r="D50" s="9">
        <v>5</v>
      </c>
      <c r="E50" s="24" t="s">
        <v>172</v>
      </c>
      <c r="F50" s="43" t="s">
        <v>309</v>
      </c>
      <c r="G50" s="7">
        <f>'CUENTA T FONDO 100'!R126</f>
        <v>0</v>
      </c>
      <c r="H50" s="7">
        <f>'CUENTA T VS'!R106</f>
        <v>0</v>
      </c>
      <c r="I50" s="7">
        <f t="shared" si="0"/>
        <v>0</v>
      </c>
      <c r="J50" s="6">
        <f>I50/$I$25</f>
        <v>0</v>
      </c>
    </row>
    <row r="51" spans="1:10" x14ac:dyDescent="0.2">
      <c r="A51" s="30">
        <v>2</v>
      </c>
      <c r="B51" s="22">
        <v>1</v>
      </c>
      <c r="C51" s="22">
        <v>2</v>
      </c>
      <c r="D51" s="22"/>
      <c r="E51" s="22"/>
      <c r="F51" s="45" t="s">
        <v>308</v>
      </c>
      <c r="G51" s="20">
        <f>+G52+G54</f>
        <v>3807608.3100000005</v>
      </c>
      <c r="H51" s="20">
        <f>+H52+H54</f>
        <v>0</v>
      </c>
      <c r="I51" s="20">
        <f t="shared" si="0"/>
        <v>3807608.3100000005</v>
      </c>
      <c r="J51" s="19"/>
    </row>
    <row r="52" spans="1:10" x14ac:dyDescent="0.2">
      <c r="A52" s="16">
        <v>2</v>
      </c>
      <c r="B52" s="15">
        <v>1</v>
      </c>
      <c r="C52" s="15">
        <v>2</v>
      </c>
      <c r="D52" s="15">
        <v>1</v>
      </c>
      <c r="E52" s="15"/>
      <c r="F52" s="44" t="s">
        <v>307</v>
      </c>
      <c r="G52" s="12">
        <f>SUM(G53)</f>
        <v>2723298.24</v>
      </c>
      <c r="H52" s="12">
        <f>SUM(H53)</f>
        <v>0</v>
      </c>
      <c r="I52" s="12">
        <f t="shared" si="0"/>
        <v>2723298.24</v>
      </c>
      <c r="J52" s="11"/>
    </row>
    <row r="53" spans="1:10" x14ac:dyDescent="0.2">
      <c r="A53" s="10">
        <v>2</v>
      </c>
      <c r="B53" s="9">
        <v>1</v>
      </c>
      <c r="C53" s="9">
        <v>2</v>
      </c>
      <c r="D53" s="9">
        <v>1</v>
      </c>
      <c r="E53" s="24" t="s">
        <v>44</v>
      </c>
      <c r="F53" s="43" t="s">
        <v>307</v>
      </c>
      <c r="G53" s="7">
        <f>'CUENTA T FONDO 100'!S126</f>
        <v>2723298.24</v>
      </c>
      <c r="H53" s="7">
        <f>'CUENTA T VS'!S106</f>
        <v>0</v>
      </c>
      <c r="I53" s="7">
        <f t="shared" si="0"/>
        <v>2723298.24</v>
      </c>
      <c r="J53" s="6">
        <f>I53/$I$25</f>
        <v>2.7094832131543348E-2</v>
      </c>
    </row>
    <row r="54" spans="1:10" x14ac:dyDescent="0.2">
      <c r="A54" s="16">
        <v>2</v>
      </c>
      <c r="B54" s="15">
        <v>1</v>
      </c>
      <c r="C54" s="15">
        <v>2</v>
      </c>
      <c r="D54" s="15">
        <v>2</v>
      </c>
      <c r="E54" s="15"/>
      <c r="F54" s="44" t="s">
        <v>306</v>
      </c>
      <c r="G54" s="12">
        <f>SUM(G55:G63)</f>
        <v>1084310.07</v>
      </c>
      <c r="H54" s="12">
        <f>SUM(H55:H63)</f>
        <v>0</v>
      </c>
      <c r="I54" s="12">
        <f t="shared" si="0"/>
        <v>1084310.07</v>
      </c>
      <c r="J54" s="11"/>
    </row>
    <row r="55" spans="1:10" x14ac:dyDescent="0.2">
      <c r="A55" s="10">
        <v>2</v>
      </c>
      <c r="B55" s="9">
        <v>1</v>
      </c>
      <c r="C55" s="9">
        <v>2</v>
      </c>
      <c r="D55" s="9">
        <v>2</v>
      </c>
      <c r="E55" s="24" t="s">
        <v>44</v>
      </c>
      <c r="F55" s="43" t="s">
        <v>305</v>
      </c>
      <c r="G55" s="7">
        <f>'CUENTA T FONDO 100'!T126</f>
        <v>0</v>
      </c>
      <c r="H55" s="7">
        <f>'CUENTA T VS'!T106</f>
        <v>0</v>
      </c>
      <c r="I55" s="7">
        <f t="shared" si="0"/>
        <v>0</v>
      </c>
      <c r="J55" s="6">
        <f t="shared" ref="J55:J63" si="3">I55/$I$25</f>
        <v>0</v>
      </c>
    </row>
    <row r="56" spans="1:10" x14ac:dyDescent="0.2">
      <c r="A56" s="10">
        <v>2</v>
      </c>
      <c r="B56" s="9">
        <v>1</v>
      </c>
      <c r="C56" s="9">
        <v>2</v>
      </c>
      <c r="D56" s="9">
        <v>2</v>
      </c>
      <c r="E56" s="24" t="s">
        <v>104</v>
      </c>
      <c r="F56" s="8" t="s">
        <v>392</v>
      </c>
      <c r="G56" s="7">
        <f>'CUENTA T FONDO 100'!U126</f>
        <v>0</v>
      </c>
      <c r="H56" s="7">
        <f>'CUENTA T VS'!U106</f>
        <v>0</v>
      </c>
      <c r="I56" s="7">
        <f t="shared" si="0"/>
        <v>0</v>
      </c>
      <c r="J56" s="6">
        <f t="shared" si="3"/>
        <v>0</v>
      </c>
    </row>
    <row r="57" spans="1:10" x14ac:dyDescent="0.2">
      <c r="A57" s="10">
        <v>2</v>
      </c>
      <c r="B57" s="9">
        <v>1</v>
      </c>
      <c r="C57" s="9">
        <v>2</v>
      </c>
      <c r="D57" s="9">
        <v>2</v>
      </c>
      <c r="E57" s="24" t="s">
        <v>172</v>
      </c>
      <c r="F57" s="43" t="s">
        <v>304</v>
      </c>
      <c r="G57" s="7">
        <f>'CUENTA T FONDO 100'!V126</f>
        <v>0</v>
      </c>
      <c r="H57" s="7">
        <f>'CUENTA T VS'!V106</f>
        <v>0</v>
      </c>
      <c r="I57" s="7">
        <f t="shared" si="0"/>
        <v>0</v>
      </c>
      <c r="J57" s="6">
        <f t="shared" si="3"/>
        <v>0</v>
      </c>
    </row>
    <row r="58" spans="1:10" x14ac:dyDescent="0.2">
      <c r="A58" s="10">
        <v>2</v>
      </c>
      <c r="B58" s="9">
        <v>1</v>
      </c>
      <c r="C58" s="9">
        <v>2</v>
      </c>
      <c r="D58" s="9">
        <v>2</v>
      </c>
      <c r="E58" s="24" t="s">
        <v>170</v>
      </c>
      <c r="F58" s="43" t="s">
        <v>303</v>
      </c>
      <c r="G58" s="7">
        <f>'CUENTA T FONDO 100'!W126</f>
        <v>45000</v>
      </c>
      <c r="H58" s="7">
        <f>'CUENTA T VS'!W106</f>
        <v>0</v>
      </c>
      <c r="I58" s="7">
        <f t="shared" si="0"/>
        <v>45000</v>
      </c>
      <c r="J58" s="6">
        <f t="shared" si="3"/>
        <v>4.4771719380961027E-4</v>
      </c>
    </row>
    <row r="59" spans="1:10" x14ac:dyDescent="0.2">
      <c r="A59" s="10">
        <v>2</v>
      </c>
      <c r="B59" s="9">
        <v>1</v>
      </c>
      <c r="C59" s="9">
        <v>2</v>
      </c>
      <c r="D59" s="9">
        <v>2</v>
      </c>
      <c r="E59" s="24" t="s">
        <v>61</v>
      </c>
      <c r="F59" s="43" t="s">
        <v>379</v>
      </c>
      <c r="G59" s="7">
        <f>'CUENTA T FONDO 100'!X126</f>
        <v>0</v>
      </c>
      <c r="H59" s="7">
        <f>'CUENTA T VS'!X106</f>
        <v>0</v>
      </c>
      <c r="I59" s="7">
        <f t="shared" si="0"/>
        <v>0</v>
      </c>
      <c r="J59" s="6">
        <f t="shared" si="3"/>
        <v>0</v>
      </c>
    </row>
    <row r="60" spans="1:10" x14ac:dyDescent="0.2">
      <c r="A60" s="10">
        <v>2</v>
      </c>
      <c r="B60" s="9">
        <v>1</v>
      </c>
      <c r="C60" s="9">
        <v>2</v>
      </c>
      <c r="D60" s="9">
        <v>2</v>
      </c>
      <c r="E60" s="24" t="s">
        <v>60</v>
      </c>
      <c r="F60" s="43" t="s">
        <v>302</v>
      </c>
      <c r="G60" s="7">
        <f>'CUENTA T FONDO 100'!Y126</f>
        <v>0</v>
      </c>
      <c r="H60" s="7">
        <f>'CUENTA T VS'!Y106</f>
        <v>0</v>
      </c>
      <c r="I60" s="7">
        <f t="shared" si="0"/>
        <v>0</v>
      </c>
      <c r="J60" s="6">
        <f t="shared" si="3"/>
        <v>0</v>
      </c>
    </row>
    <row r="61" spans="1:10" x14ac:dyDescent="0.2">
      <c r="A61" s="10">
        <v>2</v>
      </c>
      <c r="B61" s="9">
        <v>1</v>
      </c>
      <c r="C61" s="9">
        <v>2</v>
      </c>
      <c r="D61" s="9">
        <v>2</v>
      </c>
      <c r="E61" s="24" t="s">
        <v>234</v>
      </c>
      <c r="F61" s="43" t="s">
        <v>301</v>
      </c>
      <c r="G61" s="7">
        <f>'CUENTA T FONDO 100'!Z126</f>
        <v>334800</v>
      </c>
      <c r="H61" s="7">
        <f>'CUENTA T VS'!Z106</f>
        <v>0</v>
      </c>
      <c r="I61" s="7">
        <f t="shared" si="0"/>
        <v>334800</v>
      </c>
      <c r="J61" s="6">
        <f t="shared" si="3"/>
        <v>3.3310159219435004E-3</v>
      </c>
    </row>
    <row r="62" spans="1:10" x14ac:dyDescent="0.2">
      <c r="A62" s="10">
        <v>2</v>
      </c>
      <c r="B62" s="9">
        <v>1</v>
      </c>
      <c r="C62" s="9">
        <v>2</v>
      </c>
      <c r="D62" s="9">
        <v>2</v>
      </c>
      <c r="E62" s="24" t="s">
        <v>300</v>
      </c>
      <c r="F62" s="43" t="s">
        <v>393</v>
      </c>
      <c r="G62" s="7">
        <f>'CUENTA T FONDO 100'!AA126</f>
        <v>443970.11</v>
      </c>
      <c r="H62" s="7">
        <f>'CUENTA T VS'!AA106</f>
        <v>0</v>
      </c>
      <c r="I62" s="7">
        <f t="shared" si="0"/>
        <v>443970.11</v>
      </c>
      <c r="J62" s="6">
        <f t="shared" si="3"/>
        <v>4.4171789285454219E-3</v>
      </c>
    </row>
    <row r="63" spans="1:10" x14ac:dyDescent="0.2">
      <c r="A63" s="10">
        <v>2</v>
      </c>
      <c r="B63" s="9">
        <v>1</v>
      </c>
      <c r="C63" s="9">
        <v>2</v>
      </c>
      <c r="D63" s="9">
        <v>2</v>
      </c>
      <c r="E63" s="9">
        <v>10</v>
      </c>
      <c r="F63" s="8" t="s">
        <v>394</v>
      </c>
      <c r="G63" s="7">
        <f>'CUENTA T FONDO 100'!AB126</f>
        <v>260539.96</v>
      </c>
      <c r="H63" s="7">
        <f>'CUENTA T VS'!AB106</f>
        <v>0</v>
      </c>
      <c r="I63" s="7">
        <f t="shared" si="0"/>
        <v>260539.96</v>
      </c>
      <c r="J63" s="6">
        <f t="shared" si="3"/>
        <v>2.592182661477069E-3</v>
      </c>
    </row>
    <row r="64" spans="1:10" x14ac:dyDescent="0.2">
      <c r="A64" s="23">
        <v>2</v>
      </c>
      <c r="B64" s="22">
        <v>1</v>
      </c>
      <c r="C64" s="22">
        <v>3</v>
      </c>
      <c r="D64" s="22"/>
      <c r="E64" s="22"/>
      <c r="F64" s="41" t="s">
        <v>299</v>
      </c>
      <c r="G64" s="20">
        <f>+G65+G68</f>
        <v>0</v>
      </c>
      <c r="H64" s="20">
        <f>+H65+H68</f>
        <v>0</v>
      </c>
      <c r="I64" s="20">
        <f t="shared" si="0"/>
        <v>0</v>
      </c>
      <c r="J64" s="19"/>
    </row>
    <row r="65" spans="1:10" x14ac:dyDescent="0.2">
      <c r="A65" s="18">
        <v>2</v>
      </c>
      <c r="B65" s="15">
        <v>1</v>
      </c>
      <c r="C65" s="15">
        <v>3</v>
      </c>
      <c r="D65" s="15">
        <v>1</v>
      </c>
      <c r="E65" s="15"/>
      <c r="F65" s="38" t="s">
        <v>298</v>
      </c>
      <c r="G65" s="12">
        <f>SUM(G66:G67)</f>
        <v>0</v>
      </c>
      <c r="H65" s="12">
        <f>SUM(H66:H67)</f>
        <v>0</v>
      </c>
      <c r="I65" s="12">
        <f t="shared" si="0"/>
        <v>0</v>
      </c>
      <c r="J65" s="11"/>
    </row>
    <row r="66" spans="1:10" x14ac:dyDescent="0.2">
      <c r="A66" s="17">
        <v>2</v>
      </c>
      <c r="B66" s="9">
        <v>1</v>
      </c>
      <c r="C66" s="9">
        <v>3</v>
      </c>
      <c r="D66" s="9">
        <v>1</v>
      </c>
      <c r="E66" s="24" t="s">
        <v>44</v>
      </c>
      <c r="F66" s="40" t="s">
        <v>297</v>
      </c>
      <c r="G66" s="7">
        <f>'CUENTA T FONDO 100'!AC126</f>
        <v>0</v>
      </c>
      <c r="H66" s="7">
        <f>'CUENTA T VS'!AC106</f>
        <v>0</v>
      </c>
      <c r="I66" s="7">
        <f t="shared" si="0"/>
        <v>0</v>
      </c>
      <c r="J66" s="6">
        <f>I66/$I$25</f>
        <v>0</v>
      </c>
    </row>
    <row r="67" spans="1:10" x14ac:dyDescent="0.2">
      <c r="A67" s="17">
        <v>2</v>
      </c>
      <c r="B67" s="9">
        <v>1</v>
      </c>
      <c r="C67" s="9">
        <v>3</v>
      </c>
      <c r="D67" s="9">
        <v>1</v>
      </c>
      <c r="E67" s="24" t="s">
        <v>43</v>
      </c>
      <c r="F67" s="40" t="s">
        <v>296</v>
      </c>
      <c r="G67" s="7">
        <f>'CUENTA T FONDO 100'!AD126</f>
        <v>0</v>
      </c>
      <c r="H67" s="7">
        <f>'CUENTA T VS'!AD106</f>
        <v>0</v>
      </c>
      <c r="I67" s="7">
        <f t="shared" si="0"/>
        <v>0</v>
      </c>
      <c r="J67" s="6">
        <f>I67/$I$25</f>
        <v>0</v>
      </c>
    </row>
    <row r="68" spans="1:10" x14ac:dyDescent="0.2">
      <c r="A68" s="18">
        <v>2</v>
      </c>
      <c r="B68" s="15">
        <v>1</v>
      </c>
      <c r="C68" s="15">
        <v>3</v>
      </c>
      <c r="D68" s="15">
        <v>2</v>
      </c>
      <c r="E68" s="15"/>
      <c r="F68" s="38" t="s">
        <v>295</v>
      </c>
      <c r="G68" s="12">
        <f>SUM(G69:G70)</f>
        <v>0</v>
      </c>
      <c r="H68" s="12">
        <f>SUM(H69:H70)</f>
        <v>0</v>
      </c>
      <c r="I68" s="12">
        <f t="shared" si="0"/>
        <v>0</v>
      </c>
      <c r="J68" s="11"/>
    </row>
    <row r="69" spans="1:10" x14ac:dyDescent="0.2">
      <c r="A69" s="17">
        <v>2</v>
      </c>
      <c r="B69" s="9">
        <v>1</v>
      </c>
      <c r="C69" s="9">
        <v>3</v>
      </c>
      <c r="D69" s="9">
        <v>2</v>
      </c>
      <c r="E69" s="24" t="s">
        <v>44</v>
      </c>
      <c r="F69" s="40" t="s">
        <v>294</v>
      </c>
      <c r="G69" s="7">
        <f>'CUENTA T FONDO 100'!AE126</f>
        <v>0</v>
      </c>
      <c r="H69" s="7">
        <f>'CUENTA T VS'!AE106</f>
        <v>0</v>
      </c>
      <c r="I69" s="7">
        <f t="shared" si="0"/>
        <v>0</v>
      </c>
      <c r="J69" s="6">
        <f>I69/$I$25</f>
        <v>0</v>
      </c>
    </row>
    <row r="70" spans="1:10" x14ac:dyDescent="0.2">
      <c r="A70" s="17">
        <v>2</v>
      </c>
      <c r="B70" s="9">
        <v>1</v>
      </c>
      <c r="C70" s="9">
        <v>3</v>
      </c>
      <c r="D70" s="9">
        <v>2</v>
      </c>
      <c r="E70" s="24" t="s">
        <v>43</v>
      </c>
      <c r="F70" s="40" t="s">
        <v>293</v>
      </c>
      <c r="G70" s="7">
        <f>'CUENTA T FONDO 100'!AF126</f>
        <v>0</v>
      </c>
      <c r="H70" s="7">
        <f>'CUENTA T VS'!AF106</f>
        <v>0</v>
      </c>
      <c r="I70" s="7">
        <f t="shared" si="0"/>
        <v>0</v>
      </c>
      <c r="J70" s="6">
        <f>I70/$I$25</f>
        <v>0</v>
      </c>
    </row>
    <row r="71" spans="1:10" x14ac:dyDescent="0.2">
      <c r="A71" s="23">
        <v>2</v>
      </c>
      <c r="B71" s="22">
        <v>1</v>
      </c>
      <c r="C71" s="22">
        <v>4</v>
      </c>
      <c r="D71" s="22"/>
      <c r="E71" s="22"/>
      <c r="F71" s="41" t="s">
        <v>292</v>
      </c>
      <c r="G71" s="20">
        <f>+G72+G74</f>
        <v>0</v>
      </c>
      <c r="H71" s="20">
        <f>+H72+H74</f>
        <v>0</v>
      </c>
      <c r="I71" s="20">
        <f t="shared" si="0"/>
        <v>0</v>
      </c>
      <c r="J71" s="19"/>
    </row>
    <row r="72" spans="1:10" x14ac:dyDescent="0.2">
      <c r="A72" s="16">
        <v>2</v>
      </c>
      <c r="B72" s="15">
        <v>1</v>
      </c>
      <c r="C72" s="15">
        <v>4</v>
      </c>
      <c r="D72" s="15">
        <v>1</v>
      </c>
      <c r="E72" s="15"/>
      <c r="F72" s="44" t="s">
        <v>291</v>
      </c>
      <c r="G72" s="12">
        <f>SUM(G73)</f>
        <v>0</v>
      </c>
      <c r="H72" s="12">
        <f>SUM(H73)</f>
        <v>0</v>
      </c>
      <c r="I72" s="12">
        <f t="shared" si="0"/>
        <v>0</v>
      </c>
      <c r="J72" s="11"/>
    </row>
    <row r="73" spans="1:10" x14ac:dyDescent="0.2">
      <c r="A73" s="10">
        <v>2</v>
      </c>
      <c r="B73" s="9">
        <v>1</v>
      </c>
      <c r="C73" s="9">
        <v>4</v>
      </c>
      <c r="D73" s="9">
        <v>1</v>
      </c>
      <c r="E73" s="24" t="s">
        <v>44</v>
      </c>
      <c r="F73" s="43" t="s">
        <v>291</v>
      </c>
      <c r="G73" s="7">
        <f>'CUENTA T FONDO 100'!AG126</f>
        <v>0</v>
      </c>
      <c r="H73" s="7">
        <f>'CUENTA T VS'!AG106</f>
        <v>0</v>
      </c>
      <c r="I73" s="7">
        <f t="shared" si="0"/>
        <v>0</v>
      </c>
      <c r="J73" s="6">
        <f>I73/$I$25</f>
        <v>0</v>
      </c>
    </row>
    <row r="74" spans="1:10" x14ac:dyDescent="0.2">
      <c r="A74" s="16">
        <v>2</v>
      </c>
      <c r="B74" s="15">
        <v>1</v>
      </c>
      <c r="C74" s="15">
        <v>4</v>
      </c>
      <c r="D74" s="15">
        <v>2</v>
      </c>
      <c r="E74" s="15"/>
      <c r="F74" s="44" t="s">
        <v>290</v>
      </c>
      <c r="G74" s="12">
        <f>SUM(G75:G77)</f>
        <v>0</v>
      </c>
      <c r="H74" s="12">
        <f>SUM(H75:H77)</f>
        <v>0</v>
      </c>
      <c r="I74" s="12">
        <f t="shared" si="0"/>
        <v>0</v>
      </c>
      <c r="J74" s="11"/>
    </row>
    <row r="75" spans="1:10" x14ac:dyDescent="0.2">
      <c r="A75" s="10">
        <v>2</v>
      </c>
      <c r="B75" s="9">
        <v>1</v>
      </c>
      <c r="C75" s="9">
        <v>4</v>
      </c>
      <c r="D75" s="9">
        <v>2</v>
      </c>
      <c r="E75" s="24" t="s">
        <v>44</v>
      </c>
      <c r="F75" s="43" t="s">
        <v>289</v>
      </c>
      <c r="G75" s="7">
        <f>'CUENTA T FONDO 100'!AH126</f>
        <v>0</v>
      </c>
      <c r="H75" s="7">
        <f>'CUENTA T VS'!AH106</f>
        <v>0</v>
      </c>
      <c r="I75" s="7">
        <f t="shared" si="0"/>
        <v>0</v>
      </c>
      <c r="J75" s="6">
        <f>I75/$I$25</f>
        <v>0</v>
      </c>
    </row>
    <row r="76" spans="1:10" x14ac:dyDescent="0.2">
      <c r="A76" s="10">
        <v>2</v>
      </c>
      <c r="B76" s="9">
        <v>1</v>
      </c>
      <c r="C76" s="9">
        <v>4</v>
      </c>
      <c r="D76" s="9">
        <v>2</v>
      </c>
      <c r="E76" s="24" t="s">
        <v>43</v>
      </c>
      <c r="F76" s="43" t="s">
        <v>288</v>
      </c>
      <c r="G76" s="7">
        <f>'CUENTA T FONDO 100'!AI126</f>
        <v>0</v>
      </c>
      <c r="H76" s="7">
        <f>'CUENTA T VS'!AI106</f>
        <v>0</v>
      </c>
      <c r="I76" s="7">
        <f t="shared" si="0"/>
        <v>0</v>
      </c>
      <c r="J76" s="6">
        <f>I76/$I$25</f>
        <v>0</v>
      </c>
    </row>
    <row r="77" spans="1:10" x14ac:dyDescent="0.2">
      <c r="A77" s="10">
        <v>2</v>
      </c>
      <c r="B77" s="9">
        <v>1</v>
      </c>
      <c r="C77" s="9">
        <v>4</v>
      </c>
      <c r="D77" s="9">
        <v>2</v>
      </c>
      <c r="E77" s="24" t="s">
        <v>104</v>
      </c>
      <c r="F77" s="43" t="s">
        <v>287</v>
      </c>
      <c r="G77" s="7">
        <f>'CUENTA T FONDO 100'!AJ126</f>
        <v>0</v>
      </c>
      <c r="H77" s="7">
        <f>'CUENTA T VS'!AJ106</f>
        <v>0</v>
      </c>
      <c r="I77" s="7">
        <f t="shared" si="0"/>
        <v>0</v>
      </c>
      <c r="J77" s="6">
        <f>I77/$I$25</f>
        <v>0</v>
      </c>
    </row>
    <row r="78" spans="1:10" x14ac:dyDescent="0.2">
      <c r="A78" s="23">
        <v>2</v>
      </c>
      <c r="B78" s="22">
        <v>1</v>
      </c>
      <c r="C78" s="22">
        <v>5</v>
      </c>
      <c r="D78" s="22"/>
      <c r="E78" s="22"/>
      <c r="F78" s="41" t="s">
        <v>286</v>
      </c>
      <c r="G78" s="20">
        <f>+G79+G81+G83+G85</f>
        <v>8377802.1100000003</v>
      </c>
      <c r="H78" s="20">
        <f>+H79+H81+H83+H85</f>
        <v>0</v>
      </c>
      <c r="I78" s="20">
        <f t="shared" si="0"/>
        <v>8377802.1100000003</v>
      </c>
      <c r="J78" s="19"/>
    </row>
    <row r="79" spans="1:10" x14ac:dyDescent="0.2">
      <c r="A79" s="16">
        <v>2</v>
      </c>
      <c r="B79" s="15">
        <v>1</v>
      </c>
      <c r="C79" s="15">
        <v>5</v>
      </c>
      <c r="D79" s="15">
        <v>1</v>
      </c>
      <c r="E79" s="15"/>
      <c r="F79" s="44" t="s">
        <v>285</v>
      </c>
      <c r="G79" s="12">
        <f>SUM(G80)</f>
        <v>3860162.77</v>
      </c>
      <c r="H79" s="12">
        <f>SUM(H80)</f>
        <v>0</v>
      </c>
      <c r="I79" s="12">
        <f t="shared" si="0"/>
        <v>3860162.77</v>
      </c>
      <c r="J79" s="11"/>
    </row>
    <row r="80" spans="1:10" x14ac:dyDescent="0.2">
      <c r="A80" s="10">
        <v>2</v>
      </c>
      <c r="B80" s="9">
        <v>1</v>
      </c>
      <c r="C80" s="9">
        <v>5</v>
      </c>
      <c r="D80" s="9">
        <v>1</v>
      </c>
      <c r="E80" s="24" t="s">
        <v>44</v>
      </c>
      <c r="F80" s="43" t="s">
        <v>285</v>
      </c>
      <c r="G80" s="7">
        <f>'CUENTA T FONDO 100'!AK126</f>
        <v>3860162.77</v>
      </c>
      <c r="H80" s="7">
        <f>'CUENTA T VS'!AK106</f>
        <v>0</v>
      </c>
      <c r="I80" s="7">
        <f t="shared" si="0"/>
        <v>3860162.77</v>
      </c>
      <c r="J80" s="6">
        <f>I80/$I$25</f>
        <v>3.8405805400727383E-2</v>
      </c>
    </row>
    <row r="81" spans="1:10" x14ac:dyDescent="0.2">
      <c r="A81" s="16">
        <v>2</v>
      </c>
      <c r="B81" s="15">
        <v>1</v>
      </c>
      <c r="C81" s="15">
        <v>5</v>
      </c>
      <c r="D81" s="15">
        <v>2</v>
      </c>
      <c r="E81" s="15"/>
      <c r="F81" s="44" t="s">
        <v>284</v>
      </c>
      <c r="G81" s="12">
        <f>SUM(G82)</f>
        <v>3865605.4200000004</v>
      </c>
      <c r="H81" s="12">
        <f>SUM(H82)</f>
        <v>0</v>
      </c>
      <c r="I81" s="12">
        <f t="shared" si="0"/>
        <v>3865605.4200000004</v>
      </c>
      <c r="J81" s="11"/>
    </row>
    <row r="82" spans="1:10" x14ac:dyDescent="0.2">
      <c r="A82" s="10">
        <v>2</v>
      </c>
      <c r="B82" s="9">
        <v>1</v>
      </c>
      <c r="C82" s="9">
        <v>5</v>
      </c>
      <c r="D82" s="9">
        <v>2</v>
      </c>
      <c r="E82" s="24" t="s">
        <v>44</v>
      </c>
      <c r="F82" s="43" t="s">
        <v>284</v>
      </c>
      <c r="G82" s="7">
        <f>'CUENTA T FONDO 100'!AL126</f>
        <v>3865605.4200000004</v>
      </c>
      <c r="H82" s="7">
        <f>'CUENTA T VS'!AL106</f>
        <v>0</v>
      </c>
      <c r="I82" s="7">
        <f t="shared" si="0"/>
        <v>3865605.4200000004</v>
      </c>
      <c r="J82" s="6">
        <f>I82/$I$25</f>
        <v>3.8459955800391556E-2</v>
      </c>
    </row>
    <row r="83" spans="1:10" x14ac:dyDescent="0.2">
      <c r="A83" s="16">
        <v>2</v>
      </c>
      <c r="B83" s="15">
        <v>1</v>
      </c>
      <c r="C83" s="15">
        <v>5</v>
      </c>
      <c r="D83" s="15">
        <v>3</v>
      </c>
      <c r="E83" s="15"/>
      <c r="F83" s="44" t="s">
        <v>283</v>
      </c>
      <c r="G83" s="12">
        <f>SUM(G84)</f>
        <v>652033.92000000004</v>
      </c>
      <c r="H83" s="12">
        <f>SUM(H84)</f>
        <v>0</v>
      </c>
      <c r="I83" s="12">
        <f t="shared" si="0"/>
        <v>652033.92000000004</v>
      </c>
      <c r="J83" s="11"/>
    </row>
    <row r="84" spans="1:10" x14ac:dyDescent="0.2">
      <c r="A84" s="10">
        <v>2</v>
      </c>
      <c r="B84" s="9">
        <v>1</v>
      </c>
      <c r="C84" s="9">
        <v>5</v>
      </c>
      <c r="D84" s="9">
        <v>3</v>
      </c>
      <c r="E84" s="24" t="s">
        <v>44</v>
      </c>
      <c r="F84" s="43" t="s">
        <v>283</v>
      </c>
      <c r="G84" s="7">
        <f>'CUENTA T FONDO 100'!AM126</f>
        <v>652033.92000000004</v>
      </c>
      <c r="H84" s="7">
        <f>'CUENTA T VS'!AM106</f>
        <v>0</v>
      </c>
      <c r="I84" s="7">
        <f t="shared" si="0"/>
        <v>652033.92000000004</v>
      </c>
      <c r="J84" s="6">
        <f>I84/$I$25</f>
        <v>6.487262154023999E-3</v>
      </c>
    </row>
    <row r="85" spans="1:10" x14ac:dyDescent="0.2">
      <c r="A85" s="16">
        <v>2</v>
      </c>
      <c r="B85" s="15">
        <v>1</v>
      </c>
      <c r="C85" s="15">
        <v>5</v>
      </c>
      <c r="D85" s="15">
        <v>4</v>
      </c>
      <c r="E85" s="15"/>
      <c r="F85" s="44" t="s">
        <v>282</v>
      </c>
      <c r="G85" s="12">
        <f>SUM(G86)</f>
        <v>0</v>
      </c>
      <c r="H85" s="12">
        <f>SUM(H86)</f>
        <v>0</v>
      </c>
      <c r="I85" s="12">
        <f t="shared" si="0"/>
        <v>0</v>
      </c>
      <c r="J85" s="11"/>
    </row>
    <row r="86" spans="1:10" x14ac:dyDescent="0.2">
      <c r="A86" s="10">
        <v>2</v>
      </c>
      <c r="B86" s="9">
        <v>1</v>
      </c>
      <c r="C86" s="9">
        <v>5</v>
      </c>
      <c r="D86" s="9">
        <v>4</v>
      </c>
      <c r="E86" s="24" t="s">
        <v>44</v>
      </c>
      <c r="F86" s="43" t="s">
        <v>282</v>
      </c>
      <c r="G86" s="7">
        <f>'CUENTA T FONDO 100'!AN126</f>
        <v>0</v>
      </c>
      <c r="H86" s="7">
        <f>'CUENTA T VS'!AN106</f>
        <v>0</v>
      </c>
      <c r="I86" s="7">
        <f t="shared" si="0"/>
        <v>0</v>
      </c>
      <c r="J86" s="6">
        <f>I86/$I$25</f>
        <v>0</v>
      </c>
    </row>
    <row r="87" spans="1:10" x14ac:dyDescent="0.2">
      <c r="A87" s="23">
        <v>2</v>
      </c>
      <c r="B87" s="42">
        <v>2</v>
      </c>
      <c r="C87" s="22"/>
      <c r="D87" s="22"/>
      <c r="E87" s="22"/>
      <c r="F87" s="41" t="s">
        <v>281</v>
      </c>
      <c r="G87" s="20">
        <f>G88+G106+G111+G116+G125+G148+G157+G179+G208</f>
        <v>1680824.82</v>
      </c>
      <c r="H87" s="20">
        <f>H88+H106+H111+H116+H125+H148+H157+H179+H208</f>
        <v>2044062.5999999999</v>
      </c>
      <c r="I87" s="20">
        <f t="shared" si="0"/>
        <v>3724887.42</v>
      </c>
      <c r="J87" s="19">
        <f>I87/$I$25</f>
        <v>3.705991428753598E-2</v>
      </c>
    </row>
    <row r="88" spans="1:10" x14ac:dyDescent="0.2">
      <c r="A88" s="23">
        <v>2</v>
      </c>
      <c r="B88" s="22">
        <v>2</v>
      </c>
      <c r="C88" s="22">
        <v>1</v>
      </c>
      <c r="D88" s="22"/>
      <c r="E88" s="22"/>
      <c r="F88" s="41" t="s">
        <v>280</v>
      </c>
      <c r="G88" s="20">
        <f>+G89+G91+G93+G95+G97+G99+G102+G104</f>
        <v>60535</v>
      </c>
      <c r="H88" s="20">
        <f>+H89+H91+H93+H95+H97+H99+H102+H104</f>
        <v>1098463.42</v>
      </c>
      <c r="I88" s="20">
        <f t="shared" si="0"/>
        <v>1158998.42</v>
      </c>
      <c r="J88" s="19"/>
    </row>
    <row r="89" spans="1:10" x14ac:dyDescent="0.2">
      <c r="A89" s="18">
        <v>2</v>
      </c>
      <c r="B89" s="15">
        <v>2</v>
      </c>
      <c r="C89" s="15">
        <v>1</v>
      </c>
      <c r="D89" s="15">
        <v>1</v>
      </c>
      <c r="E89" s="15"/>
      <c r="F89" s="38" t="s">
        <v>279</v>
      </c>
      <c r="G89" s="12">
        <f>SUM(G90)</f>
        <v>0</v>
      </c>
      <c r="H89" s="12">
        <f>SUM(H90)</f>
        <v>0</v>
      </c>
      <c r="I89" s="12">
        <f t="shared" ref="I89:I152" si="4">SUM(G89:H89)</f>
        <v>0</v>
      </c>
      <c r="J89" s="11"/>
    </row>
    <row r="90" spans="1:10" x14ac:dyDescent="0.2">
      <c r="A90" s="17">
        <v>2</v>
      </c>
      <c r="B90" s="9">
        <v>2</v>
      </c>
      <c r="C90" s="9">
        <v>1</v>
      </c>
      <c r="D90" s="9">
        <v>1</v>
      </c>
      <c r="E90" s="24" t="s">
        <v>44</v>
      </c>
      <c r="F90" s="40" t="s">
        <v>279</v>
      </c>
      <c r="G90" s="7">
        <f>'CUENTA T FONDO 100'!AO126</f>
        <v>0</v>
      </c>
      <c r="H90" s="7">
        <f>'CUENTA T VS'!AO106</f>
        <v>0</v>
      </c>
      <c r="I90" s="7">
        <f t="shared" si="4"/>
        <v>0</v>
      </c>
      <c r="J90" s="6">
        <f>I90/$I$25</f>
        <v>0</v>
      </c>
    </row>
    <row r="91" spans="1:10" x14ac:dyDescent="0.2">
      <c r="A91" s="18">
        <v>2</v>
      </c>
      <c r="B91" s="15">
        <v>2</v>
      </c>
      <c r="C91" s="15">
        <v>1</v>
      </c>
      <c r="D91" s="15">
        <v>2</v>
      </c>
      <c r="E91" s="15"/>
      <c r="F91" s="38" t="s">
        <v>278</v>
      </c>
      <c r="G91" s="12">
        <f>SUM(G92)</f>
        <v>0</v>
      </c>
      <c r="H91" s="12">
        <f>SUM(H92)</f>
        <v>0</v>
      </c>
      <c r="I91" s="12">
        <f t="shared" si="4"/>
        <v>0</v>
      </c>
      <c r="J91" s="11"/>
    </row>
    <row r="92" spans="1:10" x14ac:dyDescent="0.2">
      <c r="A92" s="17">
        <v>2</v>
      </c>
      <c r="B92" s="9">
        <v>2</v>
      </c>
      <c r="C92" s="9">
        <v>1</v>
      </c>
      <c r="D92" s="9">
        <v>2</v>
      </c>
      <c r="E92" s="24" t="s">
        <v>44</v>
      </c>
      <c r="F92" s="40" t="s">
        <v>278</v>
      </c>
      <c r="G92" s="7">
        <f>'CUENTA T FONDO 100'!AP126</f>
        <v>0</v>
      </c>
      <c r="H92" s="7">
        <f>'CUENTA T VS'!AP106</f>
        <v>0</v>
      </c>
      <c r="I92" s="7">
        <f t="shared" si="4"/>
        <v>0</v>
      </c>
      <c r="J92" s="6">
        <f>I92/$I$25</f>
        <v>0</v>
      </c>
    </row>
    <row r="93" spans="1:10" x14ac:dyDescent="0.2">
      <c r="A93" s="18">
        <v>2</v>
      </c>
      <c r="B93" s="15">
        <v>2</v>
      </c>
      <c r="C93" s="15">
        <v>1</v>
      </c>
      <c r="D93" s="15">
        <v>3</v>
      </c>
      <c r="E93" s="15"/>
      <c r="F93" s="38" t="s">
        <v>71</v>
      </c>
      <c r="G93" s="12">
        <f>SUM(G94)</f>
        <v>0</v>
      </c>
      <c r="H93" s="12">
        <f>SUM(H94)</f>
        <v>209036.41</v>
      </c>
      <c r="I93" s="12">
        <f t="shared" si="4"/>
        <v>209036.41</v>
      </c>
      <c r="J93" s="11"/>
    </row>
    <row r="94" spans="1:10" x14ac:dyDescent="0.2">
      <c r="A94" s="17">
        <v>2</v>
      </c>
      <c r="B94" s="9">
        <v>2</v>
      </c>
      <c r="C94" s="9">
        <v>1</v>
      </c>
      <c r="D94" s="9">
        <v>3</v>
      </c>
      <c r="E94" s="24" t="s">
        <v>44</v>
      </c>
      <c r="F94" s="40" t="s">
        <v>71</v>
      </c>
      <c r="G94" s="7">
        <f>'CUENTA T FONDO 100'!AQ126</f>
        <v>0</v>
      </c>
      <c r="H94" s="7">
        <f>'CUENTA T VS'!AQ106</f>
        <v>209036.41</v>
      </c>
      <c r="I94" s="7">
        <f t="shared" si="4"/>
        <v>209036.41</v>
      </c>
      <c r="J94" s="6">
        <f>I94/$I$25</f>
        <v>2.079759886427448E-3</v>
      </c>
    </row>
    <row r="95" spans="1:10" x14ac:dyDescent="0.2">
      <c r="A95" s="18">
        <v>2</v>
      </c>
      <c r="B95" s="15">
        <v>2</v>
      </c>
      <c r="C95" s="15">
        <v>1</v>
      </c>
      <c r="D95" s="15">
        <v>4</v>
      </c>
      <c r="E95" s="15"/>
      <c r="F95" s="38" t="s">
        <v>70</v>
      </c>
      <c r="G95" s="12">
        <f>SUM(G96)</f>
        <v>0</v>
      </c>
      <c r="H95" s="12">
        <f>SUM(H96)</f>
        <v>0</v>
      </c>
      <c r="I95" s="12">
        <f t="shared" si="4"/>
        <v>0</v>
      </c>
      <c r="J95" s="11"/>
    </row>
    <row r="96" spans="1:10" x14ac:dyDescent="0.2">
      <c r="A96" s="17">
        <v>2</v>
      </c>
      <c r="B96" s="9">
        <v>2</v>
      </c>
      <c r="C96" s="9">
        <v>1</v>
      </c>
      <c r="D96" s="9">
        <v>4</v>
      </c>
      <c r="E96" s="24" t="s">
        <v>44</v>
      </c>
      <c r="F96" s="40" t="s">
        <v>70</v>
      </c>
      <c r="G96" s="7">
        <f>'CUENTA T FONDO 100'!AR126</f>
        <v>0</v>
      </c>
      <c r="H96" s="7">
        <f>'CUENTA T VS'!AR106</f>
        <v>0</v>
      </c>
      <c r="I96" s="7">
        <f t="shared" si="4"/>
        <v>0</v>
      </c>
      <c r="J96" s="6">
        <f>I96/$I$25</f>
        <v>0</v>
      </c>
    </row>
    <row r="97" spans="1:10" x14ac:dyDescent="0.2">
      <c r="A97" s="18">
        <v>2</v>
      </c>
      <c r="B97" s="15">
        <v>2</v>
      </c>
      <c r="C97" s="15">
        <v>1</v>
      </c>
      <c r="D97" s="15">
        <v>5</v>
      </c>
      <c r="E97" s="15"/>
      <c r="F97" s="38" t="s">
        <v>277</v>
      </c>
      <c r="G97" s="12">
        <f>SUM(G98)</f>
        <v>0</v>
      </c>
      <c r="H97" s="12">
        <f>SUM(H98)</f>
        <v>104427.01</v>
      </c>
      <c r="I97" s="12">
        <f t="shared" si="4"/>
        <v>104427.01</v>
      </c>
      <c r="J97" s="11"/>
    </row>
    <row r="98" spans="1:10" x14ac:dyDescent="0.2">
      <c r="A98" s="17">
        <v>2</v>
      </c>
      <c r="B98" s="9">
        <v>2</v>
      </c>
      <c r="C98" s="9">
        <v>1</v>
      </c>
      <c r="D98" s="9">
        <v>5</v>
      </c>
      <c r="E98" s="24" t="s">
        <v>44</v>
      </c>
      <c r="F98" s="40" t="s">
        <v>277</v>
      </c>
      <c r="G98" s="7">
        <f>'CUENTA T FONDO 100'!AS126</f>
        <v>0</v>
      </c>
      <c r="H98" s="7">
        <f>'CUENTA T VS'!AS106</f>
        <v>104427.01</v>
      </c>
      <c r="I98" s="7">
        <f t="shared" si="4"/>
        <v>104427.01</v>
      </c>
      <c r="J98" s="6">
        <f>I98/$I$25</f>
        <v>1.0389726194472914E-3</v>
      </c>
    </row>
    <row r="99" spans="1:10" x14ac:dyDescent="0.2">
      <c r="A99" s="18">
        <v>2</v>
      </c>
      <c r="B99" s="15">
        <v>2</v>
      </c>
      <c r="C99" s="15">
        <v>1</v>
      </c>
      <c r="D99" s="15">
        <v>6</v>
      </c>
      <c r="E99" s="15"/>
      <c r="F99" s="38" t="s">
        <v>69</v>
      </c>
      <c r="G99" s="12">
        <f>SUM(G100:G101)</f>
        <v>0</v>
      </c>
      <c r="H99" s="12">
        <f>SUM(H100:H101)</f>
        <v>0</v>
      </c>
      <c r="I99" s="12">
        <f t="shared" si="4"/>
        <v>0</v>
      </c>
      <c r="J99" s="11"/>
    </row>
    <row r="100" spans="1:10" x14ac:dyDescent="0.2">
      <c r="A100" s="17">
        <v>2</v>
      </c>
      <c r="B100" s="9">
        <v>2</v>
      </c>
      <c r="C100" s="9">
        <v>1</v>
      </c>
      <c r="D100" s="9">
        <v>6</v>
      </c>
      <c r="E100" s="24" t="s">
        <v>44</v>
      </c>
      <c r="F100" s="40" t="s">
        <v>68</v>
      </c>
      <c r="G100" s="7">
        <f>'CUENTA T FONDO 100'!AT126</f>
        <v>0</v>
      </c>
      <c r="H100" s="7">
        <f>'CUENTA T VS'!AT106</f>
        <v>0</v>
      </c>
      <c r="I100" s="7">
        <f t="shared" si="4"/>
        <v>0</v>
      </c>
      <c r="J100" s="6">
        <f>I100/$I$25</f>
        <v>0</v>
      </c>
    </row>
    <row r="101" spans="1:10" x14ac:dyDescent="0.2">
      <c r="A101" s="17">
        <v>2</v>
      </c>
      <c r="B101" s="9">
        <v>2</v>
      </c>
      <c r="C101" s="9">
        <v>1</v>
      </c>
      <c r="D101" s="9">
        <v>6</v>
      </c>
      <c r="E101" s="24" t="s">
        <v>43</v>
      </c>
      <c r="F101" s="40" t="s">
        <v>276</v>
      </c>
      <c r="G101" s="7">
        <f>'CUENTA T FONDO 100'!AU126</f>
        <v>0</v>
      </c>
      <c r="H101" s="7">
        <f>'CUENTA T VS'!AU106</f>
        <v>0</v>
      </c>
      <c r="I101" s="7">
        <f t="shared" si="4"/>
        <v>0</v>
      </c>
      <c r="J101" s="6">
        <f>I101/$I$25</f>
        <v>0</v>
      </c>
    </row>
    <row r="102" spans="1:10" x14ac:dyDescent="0.2">
      <c r="A102" s="18">
        <v>2</v>
      </c>
      <c r="B102" s="15">
        <v>2</v>
      </c>
      <c r="C102" s="15">
        <v>1</v>
      </c>
      <c r="D102" s="15">
        <v>7</v>
      </c>
      <c r="E102" s="15"/>
      <c r="F102" s="38" t="s">
        <v>67</v>
      </c>
      <c r="G102" s="12">
        <f>SUM(G103)</f>
        <v>60535</v>
      </c>
      <c r="H102" s="12">
        <f>SUM(H103)</f>
        <v>0</v>
      </c>
      <c r="I102" s="12">
        <f t="shared" si="4"/>
        <v>60535</v>
      </c>
      <c r="J102" s="11"/>
    </row>
    <row r="103" spans="1:10" x14ac:dyDescent="0.2">
      <c r="A103" s="17">
        <v>2</v>
      </c>
      <c r="B103" s="9">
        <v>2</v>
      </c>
      <c r="C103" s="9">
        <v>1</v>
      </c>
      <c r="D103" s="9">
        <v>7</v>
      </c>
      <c r="E103" s="24" t="s">
        <v>44</v>
      </c>
      <c r="F103" s="40" t="s">
        <v>67</v>
      </c>
      <c r="G103" s="7">
        <f>'CUENTA T FONDO 100'!AV126</f>
        <v>60535</v>
      </c>
      <c r="H103" s="7">
        <f>'CUENTA T VS'!AV106</f>
        <v>0</v>
      </c>
      <c r="I103" s="7">
        <f t="shared" si="4"/>
        <v>60535</v>
      </c>
      <c r="J103" s="6">
        <f>I103/$I$25</f>
        <v>6.0227911838366132E-4</v>
      </c>
    </row>
    <row r="104" spans="1:10" x14ac:dyDescent="0.2">
      <c r="A104" s="18">
        <v>2</v>
      </c>
      <c r="B104" s="15">
        <v>2</v>
      </c>
      <c r="C104" s="15">
        <v>1</v>
      </c>
      <c r="D104" s="15">
        <v>8</v>
      </c>
      <c r="E104" s="15"/>
      <c r="F104" s="38" t="s">
        <v>66</v>
      </c>
      <c r="G104" s="12">
        <f>SUM(G105)</f>
        <v>0</v>
      </c>
      <c r="H104" s="12">
        <f>SUM(H105)</f>
        <v>785000</v>
      </c>
      <c r="I104" s="12">
        <f t="shared" si="4"/>
        <v>785000</v>
      </c>
      <c r="J104" s="11"/>
    </row>
    <row r="105" spans="1:10" x14ac:dyDescent="0.2">
      <c r="A105" s="17">
        <v>2</v>
      </c>
      <c r="B105" s="9">
        <v>2</v>
      </c>
      <c r="C105" s="9">
        <v>1</v>
      </c>
      <c r="D105" s="9">
        <v>8</v>
      </c>
      <c r="E105" s="24" t="s">
        <v>44</v>
      </c>
      <c r="F105" s="40" t="s">
        <v>66</v>
      </c>
      <c r="G105" s="7">
        <f>'CUENTA T FONDO 100'!AW126</f>
        <v>0</v>
      </c>
      <c r="H105" s="7">
        <f>'CUENTA T VS'!AW106</f>
        <v>785000</v>
      </c>
      <c r="I105" s="7">
        <f t="shared" si="4"/>
        <v>785000</v>
      </c>
      <c r="J105" s="6">
        <f>I105/$I$25</f>
        <v>7.8101777142343129E-3</v>
      </c>
    </row>
    <row r="106" spans="1:10" x14ac:dyDescent="0.2">
      <c r="A106" s="23">
        <v>2</v>
      </c>
      <c r="B106" s="22">
        <v>2</v>
      </c>
      <c r="C106" s="22">
        <v>2</v>
      </c>
      <c r="D106" s="22"/>
      <c r="E106" s="22"/>
      <c r="F106" s="41" t="s">
        <v>275</v>
      </c>
      <c r="G106" s="20">
        <f>+G107+G109</f>
        <v>32889.839999999997</v>
      </c>
      <c r="H106" s="20">
        <f>+H107+H109</f>
        <v>0</v>
      </c>
      <c r="I106" s="20">
        <f t="shared" si="4"/>
        <v>32889.839999999997</v>
      </c>
      <c r="J106" s="19"/>
    </row>
    <row r="107" spans="1:10" x14ac:dyDescent="0.2">
      <c r="A107" s="18">
        <v>2</v>
      </c>
      <c r="B107" s="15">
        <v>2</v>
      </c>
      <c r="C107" s="15">
        <v>2</v>
      </c>
      <c r="D107" s="15">
        <v>1</v>
      </c>
      <c r="E107" s="15"/>
      <c r="F107" s="38" t="s">
        <v>274</v>
      </c>
      <c r="G107" s="12">
        <f>SUM(G108)</f>
        <v>0</v>
      </c>
      <c r="H107" s="12">
        <f>SUM(H108)</f>
        <v>0</v>
      </c>
      <c r="I107" s="12">
        <f t="shared" si="4"/>
        <v>0</v>
      </c>
      <c r="J107" s="11"/>
    </row>
    <row r="108" spans="1:10" x14ac:dyDescent="0.2">
      <c r="A108" s="17">
        <v>2</v>
      </c>
      <c r="B108" s="9">
        <v>2</v>
      </c>
      <c r="C108" s="9">
        <v>2</v>
      </c>
      <c r="D108" s="9">
        <v>1</v>
      </c>
      <c r="E108" s="24" t="s">
        <v>44</v>
      </c>
      <c r="F108" s="40" t="s">
        <v>274</v>
      </c>
      <c r="G108" s="7">
        <f>'CUENTA T FONDO 100'!AX126</f>
        <v>0</v>
      </c>
      <c r="H108" s="7">
        <f>'CUENTA T VS'!AX106</f>
        <v>0</v>
      </c>
      <c r="I108" s="7">
        <f t="shared" si="4"/>
        <v>0</v>
      </c>
      <c r="J108" s="6">
        <f>I108/$I$25</f>
        <v>0</v>
      </c>
    </row>
    <row r="109" spans="1:10" x14ac:dyDescent="0.2">
      <c r="A109" s="18">
        <v>2</v>
      </c>
      <c r="B109" s="15">
        <v>2</v>
      </c>
      <c r="C109" s="15">
        <v>2</v>
      </c>
      <c r="D109" s="15">
        <v>2</v>
      </c>
      <c r="E109" s="15"/>
      <c r="F109" s="38" t="s">
        <v>273</v>
      </c>
      <c r="G109" s="12">
        <f>SUM(G110)</f>
        <v>32889.839999999997</v>
      </c>
      <c r="H109" s="12">
        <f>SUM(H110)</f>
        <v>0</v>
      </c>
      <c r="I109" s="12">
        <f t="shared" si="4"/>
        <v>32889.839999999997</v>
      </c>
      <c r="J109" s="11"/>
    </row>
    <row r="110" spans="1:10" x14ac:dyDescent="0.2">
      <c r="A110" s="17">
        <v>2</v>
      </c>
      <c r="B110" s="9">
        <v>2</v>
      </c>
      <c r="C110" s="9">
        <v>2</v>
      </c>
      <c r="D110" s="9">
        <v>2</v>
      </c>
      <c r="E110" s="24" t="s">
        <v>44</v>
      </c>
      <c r="F110" s="40" t="s">
        <v>273</v>
      </c>
      <c r="G110" s="7">
        <f>'CUENTA T FONDO 100'!AY126</f>
        <v>32889.839999999997</v>
      </c>
      <c r="H110" s="7">
        <f>'CUENTA T VS'!AY106</f>
        <v>0</v>
      </c>
      <c r="I110" s="7">
        <f t="shared" si="4"/>
        <v>32889.839999999997</v>
      </c>
      <c r="J110" s="6">
        <f>I110/$I$25</f>
        <v>3.2722993043660158E-4</v>
      </c>
    </row>
    <row r="111" spans="1:10" x14ac:dyDescent="0.2">
      <c r="A111" s="23">
        <v>2</v>
      </c>
      <c r="B111" s="22">
        <v>2</v>
      </c>
      <c r="C111" s="22">
        <v>3</v>
      </c>
      <c r="D111" s="22"/>
      <c r="E111" s="22"/>
      <c r="F111" s="41" t="s">
        <v>272</v>
      </c>
      <c r="G111" s="20">
        <f>+G112+G114</f>
        <v>0</v>
      </c>
      <c r="H111" s="20">
        <f>+H112+H114</f>
        <v>0</v>
      </c>
      <c r="I111" s="20">
        <f t="shared" si="4"/>
        <v>0</v>
      </c>
      <c r="J111" s="19"/>
    </row>
    <row r="112" spans="1:10" x14ac:dyDescent="0.2">
      <c r="A112" s="18">
        <v>2</v>
      </c>
      <c r="B112" s="15">
        <v>2</v>
      </c>
      <c r="C112" s="15">
        <v>3</v>
      </c>
      <c r="D112" s="15">
        <v>1</v>
      </c>
      <c r="E112" s="15"/>
      <c r="F112" s="38" t="s">
        <v>271</v>
      </c>
      <c r="G112" s="12">
        <f>SUM(G113)</f>
        <v>0</v>
      </c>
      <c r="H112" s="12">
        <f>SUM(H113)</f>
        <v>0</v>
      </c>
      <c r="I112" s="12">
        <f t="shared" si="4"/>
        <v>0</v>
      </c>
      <c r="J112" s="11"/>
    </row>
    <row r="113" spans="1:10" x14ac:dyDescent="0.2">
      <c r="A113" s="17">
        <v>2</v>
      </c>
      <c r="B113" s="9">
        <v>2</v>
      </c>
      <c r="C113" s="9">
        <v>3</v>
      </c>
      <c r="D113" s="9">
        <v>1</v>
      </c>
      <c r="E113" s="24" t="s">
        <v>44</v>
      </c>
      <c r="F113" s="40" t="s">
        <v>271</v>
      </c>
      <c r="G113" s="7">
        <f>'CUENTA T FONDO 100'!AZ126</f>
        <v>0</v>
      </c>
      <c r="H113" s="7">
        <f>'CUENTA T VS'!AZ106</f>
        <v>0</v>
      </c>
      <c r="I113" s="7">
        <f t="shared" si="4"/>
        <v>0</v>
      </c>
      <c r="J113" s="6">
        <f>I113/$I$25</f>
        <v>0</v>
      </c>
    </row>
    <row r="114" spans="1:10" x14ac:dyDescent="0.2">
      <c r="A114" s="18">
        <v>2</v>
      </c>
      <c r="B114" s="15">
        <v>2</v>
      </c>
      <c r="C114" s="15">
        <v>3</v>
      </c>
      <c r="D114" s="15">
        <v>2</v>
      </c>
      <c r="E114" s="15"/>
      <c r="F114" s="38" t="s">
        <v>65</v>
      </c>
      <c r="G114" s="12">
        <f>SUM(G115)</f>
        <v>0</v>
      </c>
      <c r="H114" s="12">
        <f>SUM(H115)</f>
        <v>0</v>
      </c>
      <c r="I114" s="12">
        <f t="shared" si="4"/>
        <v>0</v>
      </c>
      <c r="J114" s="11"/>
    </row>
    <row r="115" spans="1:10" x14ac:dyDescent="0.2">
      <c r="A115" s="17">
        <v>2</v>
      </c>
      <c r="B115" s="9">
        <v>2</v>
      </c>
      <c r="C115" s="9">
        <v>3</v>
      </c>
      <c r="D115" s="9">
        <v>2</v>
      </c>
      <c r="E115" s="24" t="s">
        <v>44</v>
      </c>
      <c r="F115" s="40" t="s">
        <v>65</v>
      </c>
      <c r="G115" s="7">
        <f>'CUENTA T FONDO 100'!BA126</f>
        <v>0</v>
      </c>
      <c r="H115" s="7">
        <f>'CUENTA T VS'!BA106</f>
        <v>0</v>
      </c>
      <c r="I115" s="7">
        <f t="shared" si="4"/>
        <v>0</v>
      </c>
      <c r="J115" s="6">
        <f>I115/$I$25</f>
        <v>0</v>
      </c>
    </row>
    <row r="116" spans="1:10" x14ac:dyDescent="0.2">
      <c r="A116" s="23">
        <v>2</v>
      </c>
      <c r="B116" s="22">
        <v>2</v>
      </c>
      <c r="C116" s="22">
        <v>4</v>
      </c>
      <c r="D116" s="22"/>
      <c r="E116" s="22"/>
      <c r="F116" s="41" t="s">
        <v>270</v>
      </c>
      <c r="G116" s="20">
        <f>+G117+G119+G121+G123</f>
        <v>0</v>
      </c>
      <c r="H116" s="20">
        <f>+H117+H119+H121+H123</f>
        <v>76000</v>
      </c>
      <c r="I116" s="20">
        <f t="shared" si="4"/>
        <v>76000</v>
      </c>
      <c r="J116" s="19"/>
    </row>
    <row r="117" spans="1:10" x14ac:dyDescent="0.2">
      <c r="A117" s="18">
        <v>2</v>
      </c>
      <c r="B117" s="15">
        <v>2</v>
      </c>
      <c r="C117" s="15">
        <v>4</v>
      </c>
      <c r="D117" s="15">
        <v>1</v>
      </c>
      <c r="E117" s="15"/>
      <c r="F117" s="38" t="s">
        <v>269</v>
      </c>
      <c r="G117" s="12">
        <f>SUM(G118)</f>
        <v>0</v>
      </c>
      <c r="H117" s="12">
        <f>SUM(H118)</f>
        <v>20000</v>
      </c>
      <c r="I117" s="12">
        <f t="shared" si="4"/>
        <v>20000</v>
      </c>
      <c r="J117" s="11"/>
    </row>
    <row r="118" spans="1:10" x14ac:dyDescent="0.2">
      <c r="A118" s="17">
        <v>2</v>
      </c>
      <c r="B118" s="9">
        <v>2</v>
      </c>
      <c r="C118" s="9">
        <v>4</v>
      </c>
      <c r="D118" s="9">
        <v>1</v>
      </c>
      <c r="E118" s="24" t="s">
        <v>44</v>
      </c>
      <c r="F118" s="40" t="s">
        <v>269</v>
      </c>
      <c r="G118" s="7">
        <f>'CUENTA T FONDO 100'!BB126</f>
        <v>0</v>
      </c>
      <c r="H118" s="7">
        <f>'CUENTA T VS'!BB106</f>
        <v>20000</v>
      </c>
      <c r="I118" s="7">
        <f t="shared" si="4"/>
        <v>20000</v>
      </c>
      <c r="J118" s="6">
        <f>I118/$I$25</f>
        <v>1.989854194709379E-4</v>
      </c>
    </row>
    <row r="119" spans="1:10" x14ac:dyDescent="0.2">
      <c r="A119" s="18">
        <v>2</v>
      </c>
      <c r="B119" s="15">
        <v>2</v>
      </c>
      <c r="C119" s="15">
        <v>4</v>
      </c>
      <c r="D119" s="15">
        <v>2</v>
      </c>
      <c r="E119" s="15"/>
      <c r="F119" s="38" t="s">
        <v>64</v>
      </c>
      <c r="G119" s="12">
        <f>SUM(G120)</f>
        <v>0</v>
      </c>
      <c r="H119" s="12">
        <f>SUM(H120)</f>
        <v>56000</v>
      </c>
      <c r="I119" s="12">
        <f t="shared" si="4"/>
        <v>56000</v>
      </c>
      <c r="J119" s="11"/>
    </row>
    <row r="120" spans="1:10" x14ac:dyDescent="0.2">
      <c r="A120" s="17">
        <v>2</v>
      </c>
      <c r="B120" s="9">
        <v>2</v>
      </c>
      <c r="C120" s="9">
        <v>4</v>
      </c>
      <c r="D120" s="9">
        <v>2</v>
      </c>
      <c r="E120" s="24" t="s">
        <v>44</v>
      </c>
      <c r="F120" s="40" t="s">
        <v>64</v>
      </c>
      <c r="G120" s="7">
        <f>'CUENTA T FONDO 100'!BC126</f>
        <v>0</v>
      </c>
      <c r="H120" s="7">
        <f>'CUENTA T VS'!BC106</f>
        <v>56000</v>
      </c>
      <c r="I120" s="7">
        <f t="shared" si="4"/>
        <v>56000</v>
      </c>
      <c r="J120" s="6">
        <f>I120/$I$25</f>
        <v>5.5715917451862611E-4</v>
      </c>
    </row>
    <row r="121" spans="1:10" x14ac:dyDescent="0.2">
      <c r="A121" s="18">
        <v>2</v>
      </c>
      <c r="B121" s="15">
        <v>2</v>
      </c>
      <c r="C121" s="15">
        <v>4</v>
      </c>
      <c r="D121" s="15">
        <v>3</v>
      </c>
      <c r="E121" s="15"/>
      <c r="F121" s="38" t="s">
        <v>268</v>
      </c>
      <c r="G121" s="12">
        <f>SUM(G122)</f>
        <v>0</v>
      </c>
      <c r="H121" s="12">
        <f>SUM(H122)</f>
        <v>0</v>
      </c>
      <c r="I121" s="12">
        <f t="shared" si="4"/>
        <v>0</v>
      </c>
      <c r="J121" s="11"/>
    </row>
    <row r="122" spans="1:10" x14ac:dyDescent="0.2">
      <c r="A122" s="17">
        <v>2</v>
      </c>
      <c r="B122" s="9">
        <v>2</v>
      </c>
      <c r="C122" s="9">
        <v>4</v>
      </c>
      <c r="D122" s="9">
        <v>3</v>
      </c>
      <c r="E122" s="24" t="s">
        <v>44</v>
      </c>
      <c r="F122" s="40" t="s">
        <v>268</v>
      </c>
      <c r="G122" s="7">
        <f>'CUENTA T FONDO 100'!BD126</f>
        <v>0</v>
      </c>
      <c r="H122" s="7">
        <f>'CUENTA T VS'!BD106</f>
        <v>0</v>
      </c>
      <c r="I122" s="7">
        <f t="shared" si="4"/>
        <v>0</v>
      </c>
      <c r="J122" s="6">
        <f>I122/$I$25</f>
        <v>0</v>
      </c>
    </row>
    <row r="123" spans="1:10" x14ac:dyDescent="0.2">
      <c r="A123" s="18">
        <v>2</v>
      </c>
      <c r="B123" s="15">
        <v>2</v>
      </c>
      <c r="C123" s="15">
        <v>4</v>
      </c>
      <c r="D123" s="15">
        <v>4</v>
      </c>
      <c r="E123" s="15"/>
      <c r="F123" s="38" t="s">
        <v>267</v>
      </c>
      <c r="G123" s="12">
        <f>SUM(G124)</f>
        <v>0</v>
      </c>
      <c r="H123" s="12">
        <f>SUM(H124)</f>
        <v>0</v>
      </c>
      <c r="I123" s="12">
        <f t="shared" si="4"/>
        <v>0</v>
      </c>
      <c r="J123" s="11"/>
    </row>
    <row r="124" spans="1:10" x14ac:dyDescent="0.2">
      <c r="A124" s="17">
        <v>2</v>
      </c>
      <c r="B124" s="9">
        <v>2</v>
      </c>
      <c r="C124" s="9">
        <v>4</v>
      </c>
      <c r="D124" s="9">
        <v>4</v>
      </c>
      <c r="E124" s="24" t="s">
        <v>44</v>
      </c>
      <c r="F124" s="40" t="s">
        <v>267</v>
      </c>
      <c r="G124" s="7">
        <f>'CUENTA T FONDO 100'!BE126</f>
        <v>0</v>
      </c>
      <c r="H124" s="7">
        <f>'CUENTA T VS'!BE106</f>
        <v>0</v>
      </c>
      <c r="I124" s="7">
        <f t="shared" si="4"/>
        <v>0</v>
      </c>
      <c r="J124" s="6">
        <f>I124/$I$25</f>
        <v>0</v>
      </c>
    </row>
    <row r="125" spans="1:10" x14ac:dyDescent="0.2">
      <c r="A125" s="30">
        <v>2</v>
      </c>
      <c r="B125" s="22">
        <v>2</v>
      </c>
      <c r="C125" s="22">
        <v>5</v>
      </c>
      <c r="D125" s="22"/>
      <c r="E125" s="22"/>
      <c r="F125" s="41" t="s">
        <v>266</v>
      </c>
      <c r="G125" s="20">
        <f>+G126+G128+G130+G136+G138+G140+G142+G144+G146</f>
        <v>0</v>
      </c>
      <c r="H125" s="20">
        <f t="shared" ref="H125" si="5">+H126+H128+H130+H136+H138+H140+H142+H144+H146</f>
        <v>529650.64</v>
      </c>
      <c r="I125" s="20">
        <f t="shared" si="4"/>
        <v>529650.64</v>
      </c>
      <c r="J125" s="19"/>
    </row>
    <row r="126" spans="1:10" x14ac:dyDescent="0.2">
      <c r="A126" s="18">
        <v>2</v>
      </c>
      <c r="B126" s="15">
        <v>2</v>
      </c>
      <c r="C126" s="15">
        <v>5</v>
      </c>
      <c r="D126" s="15">
        <v>1</v>
      </c>
      <c r="E126" s="14"/>
      <c r="F126" s="38" t="s">
        <v>265</v>
      </c>
      <c r="G126" s="12">
        <f>SUM(G127)</f>
        <v>0</v>
      </c>
      <c r="H126" s="12">
        <f>SUM(H127)</f>
        <v>0</v>
      </c>
      <c r="I126" s="12">
        <f t="shared" si="4"/>
        <v>0</v>
      </c>
      <c r="J126" s="11"/>
    </row>
    <row r="127" spans="1:10" x14ac:dyDescent="0.2">
      <c r="A127" s="17">
        <v>2</v>
      </c>
      <c r="B127" s="9">
        <v>2</v>
      </c>
      <c r="C127" s="9">
        <v>5</v>
      </c>
      <c r="D127" s="9">
        <v>1</v>
      </c>
      <c r="E127" s="24" t="s">
        <v>44</v>
      </c>
      <c r="F127" s="40" t="s">
        <v>265</v>
      </c>
      <c r="G127" s="7">
        <f>'CUENTA T FONDO 100'!BF126</f>
        <v>0</v>
      </c>
      <c r="H127" s="7">
        <f>'CUENTA T VS'!BF106</f>
        <v>0</v>
      </c>
      <c r="I127" s="7">
        <f t="shared" si="4"/>
        <v>0</v>
      </c>
      <c r="J127" s="6">
        <f>I127/$I$25</f>
        <v>0</v>
      </c>
    </row>
    <row r="128" spans="1:10" x14ac:dyDescent="0.2">
      <c r="A128" s="18">
        <v>2</v>
      </c>
      <c r="B128" s="15">
        <v>2</v>
      </c>
      <c r="C128" s="15">
        <v>5</v>
      </c>
      <c r="D128" s="15">
        <v>2</v>
      </c>
      <c r="E128" s="14"/>
      <c r="F128" s="38" t="s">
        <v>264</v>
      </c>
      <c r="G128" s="12">
        <f>SUM(G129)</f>
        <v>0</v>
      </c>
      <c r="H128" s="12">
        <f>SUM(H129)</f>
        <v>0</v>
      </c>
      <c r="I128" s="12">
        <f t="shared" si="4"/>
        <v>0</v>
      </c>
      <c r="J128" s="11"/>
    </row>
    <row r="129" spans="1:10" x14ac:dyDescent="0.2">
      <c r="A129" s="17">
        <v>2</v>
      </c>
      <c r="B129" s="9">
        <v>2</v>
      </c>
      <c r="C129" s="9">
        <v>5</v>
      </c>
      <c r="D129" s="9">
        <v>2</v>
      </c>
      <c r="E129" s="24" t="s">
        <v>44</v>
      </c>
      <c r="F129" s="40" t="s">
        <v>395</v>
      </c>
      <c r="G129" s="7">
        <f>'CUENTA T FONDO 100'!BG126</f>
        <v>0</v>
      </c>
      <c r="H129" s="7">
        <f>'CUENTA T VS'!BG106</f>
        <v>0</v>
      </c>
      <c r="I129" s="7">
        <f t="shared" si="4"/>
        <v>0</v>
      </c>
      <c r="J129" s="6">
        <f>I129/$I$25</f>
        <v>0</v>
      </c>
    </row>
    <row r="130" spans="1:10" x14ac:dyDescent="0.2">
      <c r="A130" s="18">
        <v>2</v>
      </c>
      <c r="B130" s="15">
        <v>2</v>
      </c>
      <c r="C130" s="15">
        <v>5</v>
      </c>
      <c r="D130" s="15">
        <v>3</v>
      </c>
      <c r="E130" s="14"/>
      <c r="F130" s="38" t="s">
        <v>63</v>
      </c>
      <c r="G130" s="12">
        <f>SUM(G131:G135)</f>
        <v>0</v>
      </c>
      <c r="H130" s="12">
        <f>SUM(H131:H135)</f>
        <v>476550.64</v>
      </c>
      <c r="I130" s="12">
        <f t="shared" si="4"/>
        <v>476550.64</v>
      </c>
      <c r="J130" s="11"/>
    </row>
    <row r="131" spans="1:10" x14ac:dyDescent="0.2">
      <c r="A131" s="17">
        <v>2</v>
      </c>
      <c r="B131" s="9">
        <v>2</v>
      </c>
      <c r="C131" s="9">
        <v>5</v>
      </c>
      <c r="D131" s="9">
        <v>3</v>
      </c>
      <c r="E131" s="24" t="s">
        <v>44</v>
      </c>
      <c r="F131" s="40" t="s">
        <v>263</v>
      </c>
      <c r="G131" s="7">
        <f>'CUENTA T FONDO 100'!BH126</f>
        <v>0</v>
      </c>
      <c r="H131" s="7">
        <f>'CUENTA T VS'!BH106</f>
        <v>0</v>
      </c>
      <c r="I131" s="7">
        <f t="shared" si="4"/>
        <v>0</v>
      </c>
      <c r="J131" s="6">
        <f>I131/$I$25</f>
        <v>0</v>
      </c>
    </row>
    <row r="132" spans="1:10" x14ac:dyDescent="0.2">
      <c r="A132" s="17">
        <v>2</v>
      </c>
      <c r="B132" s="9">
        <v>2</v>
      </c>
      <c r="C132" s="9">
        <v>5</v>
      </c>
      <c r="D132" s="9">
        <v>3</v>
      </c>
      <c r="E132" s="24" t="s">
        <v>43</v>
      </c>
      <c r="F132" s="40" t="s">
        <v>396</v>
      </c>
      <c r="G132" s="7">
        <f>'CUENTA T FONDO 100'!BI126</f>
        <v>0</v>
      </c>
      <c r="H132" s="7">
        <f>'CUENTA T VS'!BI106</f>
        <v>476550.64</v>
      </c>
      <c r="I132" s="7">
        <f t="shared" si="4"/>
        <v>476550.64</v>
      </c>
      <c r="J132" s="6">
        <f>I132/$I$25</f>
        <v>4.7413314499771958E-3</v>
      </c>
    </row>
    <row r="133" spans="1:10" x14ac:dyDescent="0.2">
      <c r="A133" s="17">
        <v>2</v>
      </c>
      <c r="B133" s="9">
        <v>2</v>
      </c>
      <c r="C133" s="9">
        <v>5</v>
      </c>
      <c r="D133" s="9">
        <v>3</v>
      </c>
      <c r="E133" s="24" t="s">
        <v>104</v>
      </c>
      <c r="F133" s="40" t="s">
        <v>262</v>
      </c>
      <c r="G133" s="7">
        <f>'CUENTA T FONDO 100'!BJ126</f>
        <v>0</v>
      </c>
      <c r="H133" s="7">
        <f>'CUENTA T VS'!BJ106</f>
        <v>0</v>
      </c>
      <c r="I133" s="7">
        <f t="shared" si="4"/>
        <v>0</v>
      </c>
      <c r="J133" s="6">
        <f>I133/$I$25</f>
        <v>0</v>
      </c>
    </row>
    <row r="134" spans="1:10" x14ac:dyDescent="0.2">
      <c r="A134" s="17">
        <v>2</v>
      </c>
      <c r="B134" s="9">
        <v>2</v>
      </c>
      <c r="C134" s="9">
        <v>5</v>
      </c>
      <c r="D134" s="9">
        <v>3</v>
      </c>
      <c r="E134" s="24" t="s">
        <v>172</v>
      </c>
      <c r="F134" s="40" t="s">
        <v>261</v>
      </c>
      <c r="G134" s="7">
        <f>'CUENTA T FONDO 100'!BK126</f>
        <v>0</v>
      </c>
      <c r="H134" s="7">
        <f>'CUENTA T VS'!BK106</f>
        <v>0</v>
      </c>
      <c r="I134" s="7">
        <f t="shared" si="4"/>
        <v>0</v>
      </c>
      <c r="J134" s="6">
        <f>I134/$I$25</f>
        <v>0</v>
      </c>
    </row>
    <row r="135" spans="1:10" x14ac:dyDescent="0.2">
      <c r="A135" s="17">
        <v>2</v>
      </c>
      <c r="B135" s="9">
        <v>2</v>
      </c>
      <c r="C135" s="9">
        <v>5</v>
      </c>
      <c r="D135" s="9">
        <v>3</v>
      </c>
      <c r="E135" s="24" t="s">
        <v>170</v>
      </c>
      <c r="F135" s="40" t="s">
        <v>260</v>
      </c>
      <c r="G135" s="7">
        <f>'CUENTA T FONDO 100'!BL126</f>
        <v>0</v>
      </c>
      <c r="H135" s="7">
        <f>'CUENTA T VS'!BL106</f>
        <v>0</v>
      </c>
      <c r="I135" s="7">
        <f t="shared" si="4"/>
        <v>0</v>
      </c>
      <c r="J135" s="6">
        <f>I135/$I$25</f>
        <v>0</v>
      </c>
    </row>
    <row r="136" spans="1:10" x14ac:dyDescent="0.2">
      <c r="A136" s="18">
        <v>2</v>
      </c>
      <c r="B136" s="15">
        <v>2</v>
      </c>
      <c r="C136" s="15">
        <v>5</v>
      </c>
      <c r="D136" s="15">
        <v>4</v>
      </c>
      <c r="E136" s="14"/>
      <c r="F136" s="38" t="s">
        <v>259</v>
      </c>
      <c r="G136" s="12">
        <f>SUM(G137)</f>
        <v>0</v>
      </c>
      <c r="H136" s="12">
        <f>SUM(H137)</f>
        <v>0</v>
      </c>
      <c r="I136" s="12">
        <f t="shared" si="4"/>
        <v>0</v>
      </c>
      <c r="J136" s="11"/>
    </row>
    <row r="137" spans="1:10" x14ac:dyDescent="0.2">
      <c r="A137" s="17">
        <v>2</v>
      </c>
      <c r="B137" s="9">
        <v>2</v>
      </c>
      <c r="C137" s="9">
        <v>5</v>
      </c>
      <c r="D137" s="9">
        <v>4</v>
      </c>
      <c r="E137" s="24" t="s">
        <v>44</v>
      </c>
      <c r="F137" s="40" t="s">
        <v>259</v>
      </c>
      <c r="G137" s="7">
        <f>'CUENTA T FONDO 100'!BM126</f>
        <v>0</v>
      </c>
      <c r="H137" s="7">
        <f>'CUENTA T VS'!BM106</f>
        <v>0</v>
      </c>
      <c r="I137" s="7">
        <f t="shared" si="4"/>
        <v>0</v>
      </c>
      <c r="J137" s="6">
        <f>I137/$I$25</f>
        <v>0</v>
      </c>
    </row>
    <row r="138" spans="1:10" x14ac:dyDescent="0.2">
      <c r="A138" s="18">
        <v>2</v>
      </c>
      <c r="B138" s="15">
        <v>2</v>
      </c>
      <c r="C138" s="15">
        <v>5</v>
      </c>
      <c r="D138" s="15">
        <v>5</v>
      </c>
      <c r="E138" s="14"/>
      <c r="F138" s="38" t="s">
        <v>258</v>
      </c>
      <c r="G138" s="12">
        <f>SUM(G139)</f>
        <v>0</v>
      </c>
      <c r="H138" s="12">
        <f>SUM(H139)</f>
        <v>0</v>
      </c>
      <c r="I138" s="12">
        <f t="shared" si="4"/>
        <v>0</v>
      </c>
      <c r="J138" s="11"/>
    </row>
    <row r="139" spans="1:10" x14ac:dyDescent="0.2">
      <c r="A139" s="17">
        <v>2</v>
      </c>
      <c r="B139" s="9">
        <v>2</v>
      </c>
      <c r="C139" s="9">
        <v>5</v>
      </c>
      <c r="D139" s="9">
        <v>5</v>
      </c>
      <c r="E139" s="24" t="s">
        <v>44</v>
      </c>
      <c r="F139" s="40" t="s">
        <v>258</v>
      </c>
      <c r="G139" s="7">
        <f>'CUENTA T FONDO 100'!BN126</f>
        <v>0</v>
      </c>
      <c r="H139" s="7">
        <f>'CUENTA T VS'!BN106</f>
        <v>0</v>
      </c>
      <c r="I139" s="7">
        <f t="shared" si="4"/>
        <v>0</v>
      </c>
      <c r="J139" s="6">
        <f>I139/$I$25</f>
        <v>0</v>
      </c>
    </row>
    <row r="140" spans="1:10" x14ac:dyDescent="0.2">
      <c r="A140" s="18">
        <v>2</v>
      </c>
      <c r="B140" s="15">
        <v>2</v>
      </c>
      <c r="C140" s="15">
        <v>5</v>
      </c>
      <c r="D140" s="15">
        <v>6</v>
      </c>
      <c r="E140" s="14"/>
      <c r="F140" s="38" t="s">
        <v>257</v>
      </c>
      <c r="G140" s="12">
        <f>SUM(G141)</f>
        <v>0</v>
      </c>
      <c r="H140" s="12">
        <f>SUM(H141)</f>
        <v>0</v>
      </c>
      <c r="I140" s="12">
        <f t="shared" si="4"/>
        <v>0</v>
      </c>
      <c r="J140" s="11"/>
    </row>
    <row r="141" spans="1:10" x14ac:dyDescent="0.2">
      <c r="A141" s="17">
        <v>2</v>
      </c>
      <c r="B141" s="9">
        <v>2</v>
      </c>
      <c r="C141" s="9">
        <v>5</v>
      </c>
      <c r="D141" s="9">
        <v>6</v>
      </c>
      <c r="E141" s="24" t="s">
        <v>44</v>
      </c>
      <c r="F141" s="40" t="s">
        <v>257</v>
      </c>
      <c r="G141" s="7">
        <f>'CUENTA T FONDO 100'!BO126</f>
        <v>0</v>
      </c>
      <c r="H141" s="7">
        <f>'CUENTA T VS'!BO106</f>
        <v>0</v>
      </c>
      <c r="I141" s="7">
        <f t="shared" si="4"/>
        <v>0</v>
      </c>
      <c r="J141" s="6">
        <f>I141/$I$25</f>
        <v>0</v>
      </c>
    </row>
    <row r="142" spans="1:10" x14ac:dyDescent="0.2">
      <c r="A142" s="18">
        <v>2</v>
      </c>
      <c r="B142" s="15">
        <v>2</v>
      </c>
      <c r="C142" s="15">
        <v>5</v>
      </c>
      <c r="D142" s="15">
        <v>7</v>
      </c>
      <c r="E142" s="14"/>
      <c r="F142" s="38" t="s">
        <v>256</v>
      </c>
      <c r="G142" s="12">
        <f>SUM(G143)</f>
        <v>0</v>
      </c>
      <c r="H142" s="12">
        <f>SUM(H143)</f>
        <v>0</v>
      </c>
      <c r="I142" s="12">
        <f t="shared" si="4"/>
        <v>0</v>
      </c>
      <c r="J142" s="11"/>
    </row>
    <row r="143" spans="1:10" x14ac:dyDescent="0.2">
      <c r="A143" s="17">
        <v>2</v>
      </c>
      <c r="B143" s="9">
        <v>2</v>
      </c>
      <c r="C143" s="9">
        <v>5</v>
      </c>
      <c r="D143" s="9">
        <v>7</v>
      </c>
      <c r="E143" s="24" t="s">
        <v>44</v>
      </c>
      <c r="F143" s="40" t="s">
        <v>256</v>
      </c>
      <c r="G143" s="7">
        <f>'CUENTA T FONDO 100'!BP126</f>
        <v>0</v>
      </c>
      <c r="H143" s="7">
        <f>'CUENTA T VS'!BP106</f>
        <v>0</v>
      </c>
      <c r="I143" s="7">
        <f t="shared" si="4"/>
        <v>0</v>
      </c>
      <c r="J143" s="6">
        <f>I143/$I$25</f>
        <v>0</v>
      </c>
    </row>
    <row r="144" spans="1:10" x14ac:dyDescent="0.2">
      <c r="A144" s="18">
        <v>2</v>
      </c>
      <c r="B144" s="15">
        <v>2</v>
      </c>
      <c r="C144" s="15">
        <v>5</v>
      </c>
      <c r="D144" s="15">
        <v>8</v>
      </c>
      <c r="E144" s="14"/>
      <c r="F144" s="38" t="s">
        <v>255</v>
      </c>
      <c r="G144" s="12">
        <f>SUM(G145)</f>
        <v>0</v>
      </c>
      <c r="H144" s="12">
        <f>SUM(H145)</f>
        <v>53100</v>
      </c>
      <c r="I144" s="12">
        <f t="shared" si="4"/>
        <v>53100</v>
      </c>
      <c r="J144" s="11"/>
    </row>
    <row r="145" spans="1:10" x14ac:dyDescent="0.2">
      <c r="A145" s="17">
        <v>2</v>
      </c>
      <c r="B145" s="9">
        <v>2</v>
      </c>
      <c r="C145" s="9">
        <v>5</v>
      </c>
      <c r="D145" s="9">
        <v>8</v>
      </c>
      <c r="E145" s="24" t="s">
        <v>44</v>
      </c>
      <c r="F145" s="40" t="s">
        <v>255</v>
      </c>
      <c r="G145" s="7">
        <f>'CUENTA T FONDO 100'!BQ126</f>
        <v>0</v>
      </c>
      <c r="H145" s="7">
        <f>'CUENTA T VS'!BQ106</f>
        <v>53100</v>
      </c>
      <c r="I145" s="7">
        <f t="shared" si="4"/>
        <v>53100</v>
      </c>
      <c r="J145" s="6">
        <f>I145/$I$25</f>
        <v>5.2830628869534018E-4</v>
      </c>
    </row>
    <row r="146" spans="1:10" x14ac:dyDescent="0.2">
      <c r="A146" s="18">
        <v>2</v>
      </c>
      <c r="B146" s="15">
        <v>2</v>
      </c>
      <c r="C146" s="15">
        <v>5</v>
      </c>
      <c r="D146" s="15">
        <v>9</v>
      </c>
      <c r="E146" s="14"/>
      <c r="F146" s="38" t="s">
        <v>397</v>
      </c>
      <c r="G146" s="12">
        <f>SUM(G147)</f>
        <v>0</v>
      </c>
      <c r="H146" s="12">
        <f>SUM(H147)</f>
        <v>0</v>
      </c>
      <c r="I146" s="12">
        <f t="shared" si="4"/>
        <v>0</v>
      </c>
      <c r="J146" s="11"/>
    </row>
    <row r="147" spans="1:10" x14ac:dyDescent="0.2">
      <c r="A147" s="17">
        <v>2</v>
      </c>
      <c r="B147" s="9">
        <v>2</v>
      </c>
      <c r="C147" s="9">
        <v>5</v>
      </c>
      <c r="D147" s="9">
        <v>9</v>
      </c>
      <c r="E147" s="24" t="s">
        <v>44</v>
      </c>
      <c r="F147" s="40" t="s">
        <v>398</v>
      </c>
      <c r="G147" s="7">
        <f>'CUENTA T FONDO 100'!BR126</f>
        <v>0</v>
      </c>
      <c r="H147" s="7">
        <f>'CUENTA T VS'!BR106</f>
        <v>0</v>
      </c>
      <c r="I147" s="7">
        <f t="shared" si="4"/>
        <v>0</v>
      </c>
      <c r="J147" s="6">
        <f>I147/$I$25</f>
        <v>0</v>
      </c>
    </row>
    <row r="148" spans="1:10" x14ac:dyDescent="0.2">
      <c r="A148" s="30">
        <v>2</v>
      </c>
      <c r="B148" s="22">
        <v>2</v>
      </c>
      <c r="C148" s="22">
        <v>6</v>
      </c>
      <c r="D148" s="22"/>
      <c r="E148" s="22"/>
      <c r="F148" s="41" t="s">
        <v>254</v>
      </c>
      <c r="G148" s="20">
        <f>+G149+G151+G153+G155</f>
        <v>0</v>
      </c>
      <c r="H148" s="20">
        <f>+H149+H151+H153+H155</f>
        <v>0</v>
      </c>
      <c r="I148" s="20">
        <f t="shared" si="4"/>
        <v>0</v>
      </c>
      <c r="J148" s="19"/>
    </row>
    <row r="149" spans="1:10" x14ac:dyDescent="0.2">
      <c r="A149" s="18">
        <v>2</v>
      </c>
      <c r="B149" s="15">
        <v>2</v>
      </c>
      <c r="C149" s="15">
        <v>6</v>
      </c>
      <c r="D149" s="15">
        <v>1</v>
      </c>
      <c r="E149" s="14"/>
      <c r="F149" s="38" t="s">
        <v>253</v>
      </c>
      <c r="G149" s="12">
        <f>SUM(G150)</f>
        <v>0</v>
      </c>
      <c r="H149" s="12">
        <f>SUM(H150)</f>
        <v>0</v>
      </c>
      <c r="I149" s="12">
        <f t="shared" si="4"/>
        <v>0</v>
      </c>
      <c r="J149" s="11"/>
    </row>
    <row r="150" spans="1:10" x14ac:dyDescent="0.2">
      <c r="A150" s="17">
        <v>2</v>
      </c>
      <c r="B150" s="9">
        <v>2</v>
      </c>
      <c r="C150" s="9">
        <v>6</v>
      </c>
      <c r="D150" s="9">
        <v>1</v>
      </c>
      <c r="E150" s="24" t="s">
        <v>44</v>
      </c>
      <c r="F150" s="40" t="s">
        <v>253</v>
      </c>
      <c r="G150" s="7">
        <f>'CUENTA T FONDO 100'!BS126</f>
        <v>0</v>
      </c>
      <c r="H150" s="7">
        <f>'CUENTA T VS'!BS106</f>
        <v>0</v>
      </c>
      <c r="I150" s="7">
        <f t="shared" si="4"/>
        <v>0</v>
      </c>
      <c r="J150" s="6">
        <f>I150/$I$25</f>
        <v>0</v>
      </c>
    </row>
    <row r="151" spans="1:10" x14ac:dyDescent="0.2">
      <c r="A151" s="18">
        <v>2</v>
      </c>
      <c r="B151" s="15">
        <v>2</v>
      </c>
      <c r="C151" s="15">
        <v>6</v>
      </c>
      <c r="D151" s="15">
        <v>2</v>
      </c>
      <c r="E151" s="15"/>
      <c r="F151" s="38" t="s">
        <v>62</v>
      </c>
      <c r="G151" s="12">
        <f>SUM(G152)</f>
        <v>0</v>
      </c>
      <c r="H151" s="12">
        <f>SUM(H152)</f>
        <v>0</v>
      </c>
      <c r="I151" s="12">
        <f t="shared" si="4"/>
        <v>0</v>
      </c>
      <c r="J151" s="11"/>
    </row>
    <row r="152" spans="1:10" x14ac:dyDescent="0.2">
      <c r="A152" s="17">
        <v>2</v>
      </c>
      <c r="B152" s="9">
        <v>2</v>
      </c>
      <c r="C152" s="9">
        <v>6</v>
      </c>
      <c r="D152" s="9">
        <v>2</v>
      </c>
      <c r="E152" s="24" t="s">
        <v>44</v>
      </c>
      <c r="F152" s="40" t="s">
        <v>62</v>
      </c>
      <c r="G152" s="7">
        <f>'CUENTA T FONDO 100'!BT126</f>
        <v>0</v>
      </c>
      <c r="H152" s="7">
        <f>'CUENTA T VS'!BT106</f>
        <v>0</v>
      </c>
      <c r="I152" s="7">
        <f t="shared" si="4"/>
        <v>0</v>
      </c>
      <c r="J152" s="6">
        <f>I152/$I$25</f>
        <v>0</v>
      </c>
    </row>
    <row r="153" spans="1:10" x14ac:dyDescent="0.2">
      <c r="A153" s="18">
        <v>2</v>
      </c>
      <c r="B153" s="15">
        <v>2</v>
      </c>
      <c r="C153" s="15">
        <v>6</v>
      </c>
      <c r="D153" s="15">
        <v>3</v>
      </c>
      <c r="E153" s="15"/>
      <c r="F153" s="38" t="s">
        <v>252</v>
      </c>
      <c r="G153" s="12">
        <f>SUM(G154)</f>
        <v>0</v>
      </c>
      <c r="H153" s="12">
        <f>SUM(H154)</f>
        <v>0</v>
      </c>
      <c r="I153" s="12">
        <f t="shared" ref="I153:I216" si="6">SUM(G153:H153)</f>
        <v>0</v>
      </c>
      <c r="J153" s="11"/>
    </row>
    <row r="154" spans="1:10" x14ac:dyDescent="0.2">
      <c r="A154" s="17">
        <v>2</v>
      </c>
      <c r="B154" s="9">
        <v>2</v>
      </c>
      <c r="C154" s="9">
        <v>6</v>
      </c>
      <c r="D154" s="9">
        <v>3</v>
      </c>
      <c r="E154" s="24" t="s">
        <v>44</v>
      </c>
      <c r="F154" s="40" t="s">
        <v>252</v>
      </c>
      <c r="G154" s="7">
        <f>'CUENTA T FONDO 100'!BU126</f>
        <v>0</v>
      </c>
      <c r="H154" s="7">
        <f>'CUENTA T VS'!BU106</f>
        <v>0</v>
      </c>
      <c r="I154" s="7">
        <f t="shared" si="6"/>
        <v>0</v>
      </c>
      <c r="J154" s="6">
        <f>I154/$I$25</f>
        <v>0</v>
      </c>
    </row>
    <row r="155" spans="1:10" x14ac:dyDescent="0.2">
      <c r="A155" s="18">
        <v>2</v>
      </c>
      <c r="B155" s="15">
        <v>2</v>
      </c>
      <c r="C155" s="15">
        <v>6</v>
      </c>
      <c r="D155" s="15">
        <v>4</v>
      </c>
      <c r="E155" s="15"/>
      <c r="F155" s="38" t="s">
        <v>251</v>
      </c>
      <c r="G155" s="12">
        <f>SUM(G156)</f>
        <v>0</v>
      </c>
      <c r="H155" s="12">
        <f>SUM(H156)</f>
        <v>0</v>
      </c>
      <c r="I155" s="12">
        <f t="shared" si="6"/>
        <v>0</v>
      </c>
      <c r="J155" s="11"/>
    </row>
    <row r="156" spans="1:10" x14ac:dyDescent="0.2">
      <c r="A156" s="17">
        <v>2</v>
      </c>
      <c r="B156" s="9">
        <v>2</v>
      </c>
      <c r="C156" s="9">
        <v>6</v>
      </c>
      <c r="D156" s="9">
        <v>4</v>
      </c>
      <c r="E156" s="24" t="s">
        <v>44</v>
      </c>
      <c r="F156" s="40" t="s">
        <v>251</v>
      </c>
      <c r="G156" s="7">
        <f>'CUENTA T FONDO 100'!BV126</f>
        <v>0</v>
      </c>
      <c r="H156" s="7">
        <f>'CUENTA T VS'!BV106</f>
        <v>0</v>
      </c>
      <c r="I156" s="7">
        <f t="shared" si="6"/>
        <v>0</v>
      </c>
      <c r="J156" s="6">
        <f>I156/$I$25</f>
        <v>0</v>
      </c>
    </row>
    <row r="157" spans="1:10" ht="25.5" x14ac:dyDescent="0.2">
      <c r="A157" s="30">
        <v>2</v>
      </c>
      <c r="B157" s="22">
        <v>2</v>
      </c>
      <c r="C157" s="22">
        <v>7</v>
      </c>
      <c r="D157" s="22"/>
      <c r="E157" s="29"/>
      <c r="F157" s="39" t="s">
        <v>250</v>
      </c>
      <c r="G157" s="20">
        <f>+G158+G167+G177</f>
        <v>1174399.98</v>
      </c>
      <c r="H157" s="20">
        <f>+H158+H167+H177</f>
        <v>205899.13999999998</v>
      </c>
      <c r="I157" s="20">
        <f t="shared" si="6"/>
        <v>1380299.1199999999</v>
      </c>
      <c r="J157" s="19"/>
    </row>
    <row r="158" spans="1:10" x14ac:dyDescent="0.2">
      <c r="A158" s="18">
        <v>2</v>
      </c>
      <c r="B158" s="15">
        <v>2</v>
      </c>
      <c r="C158" s="15">
        <v>7</v>
      </c>
      <c r="D158" s="15">
        <v>1</v>
      </c>
      <c r="E158" s="15"/>
      <c r="F158" s="38" t="s">
        <v>249</v>
      </c>
      <c r="G158" s="12">
        <f>SUM(G159:G166)</f>
        <v>17999.98</v>
      </c>
      <c r="H158" s="12">
        <f>SUM(H159:H166)</f>
        <v>0</v>
      </c>
      <c r="I158" s="12">
        <f t="shared" si="6"/>
        <v>17999.98</v>
      </c>
      <c r="J158" s="11"/>
    </row>
    <row r="159" spans="1:10" x14ac:dyDescent="0.2">
      <c r="A159" s="10">
        <v>2</v>
      </c>
      <c r="B159" s="9">
        <v>2</v>
      </c>
      <c r="C159" s="9">
        <v>7</v>
      </c>
      <c r="D159" s="9">
        <v>1</v>
      </c>
      <c r="E159" s="24" t="s">
        <v>44</v>
      </c>
      <c r="F159" s="37" t="s">
        <v>248</v>
      </c>
      <c r="G159" s="7">
        <f>'CUENTA T FONDO 100'!BW126</f>
        <v>17999.98</v>
      </c>
      <c r="H159" s="7">
        <f>'CUENTA T VS'!BW106</f>
        <v>0</v>
      </c>
      <c r="I159" s="7">
        <f t="shared" si="6"/>
        <v>17999.98</v>
      </c>
      <c r="J159" s="6">
        <f t="shared" ref="J159:J166" si="7">I159/$I$25</f>
        <v>1.7908667853842465E-4</v>
      </c>
    </row>
    <row r="160" spans="1:10" x14ac:dyDescent="0.2">
      <c r="A160" s="10">
        <v>2</v>
      </c>
      <c r="B160" s="9">
        <v>2</v>
      </c>
      <c r="C160" s="9">
        <v>7</v>
      </c>
      <c r="D160" s="9">
        <v>1</v>
      </c>
      <c r="E160" s="24" t="s">
        <v>43</v>
      </c>
      <c r="F160" s="37" t="s">
        <v>247</v>
      </c>
      <c r="G160" s="7">
        <f>'CUENTA T FONDO 100'!BX126</f>
        <v>0</v>
      </c>
      <c r="H160" s="7">
        <f>'CUENTA T VS'!BX106</f>
        <v>0</v>
      </c>
      <c r="I160" s="7">
        <f t="shared" si="6"/>
        <v>0</v>
      </c>
      <c r="J160" s="6">
        <f t="shared" si="7"/>
        <v>0</v>
      </c>
    </row>
    <row r="161" spans="1:10" x14ac:dyDescent="0.2">
      <c r="A161" s="10">
        <v>2</v>
      </c>
      <c r="B161" s="9">
        <v>2</v>
      </c>
      <c r="C161" s="9">
        <v>7</v>
      </c>
      <c r="D161" s="9">
        <v>1</v>
      </c>
      <c r="E161" s="24" t="s">
        <v>104</v>
      </c>
      <c r="F161" s="37" t="s">
        <v>246</v>
      </c>
      <c r="G161" s="7">
        <f>'CUENTA T FONDO 100'!BY126</f>
        <v>0</v>
      </c>
      <c r="H161" s="7">
        <f>'CUENTA T VS'!BY106</f>
        <v>0</v>
      </c>
      <c r="I161" s="7">
        <f t="shared" si="6"/>
        <v>0</v>
      </c>
      <c r="J161" s="6">
        <f t="shared" si="7"/>
        <v>0</v>
      </c>
    </row>
    <row r="162" spans="1:10" ht="25.5" x14ac:dyDescent="0.2">
      <c r="A162" s="10">
        <v>2</v>
      </c>
      <c r="B162" s="9">
        <v>2</v>
      </c>
      <c r="C162" s="9">
        <v>7</v>
      </c>
      <c r="D162" s="9">
        <v>1</v>
      </c>
      <c r="E162" s="24" t="s">
        <v>172</v>
      </c>
      <c r="F162" s="37" t="s">
        <v>245</v>
      </c>
      <c r="G162" s="7">
        <f>'CUENTA T FONDO 100'!BZ126</f>
        <v>0</v>
      </c>
      <c r="H162" s="7">
        <f>'CUENTA T VS'!BZ106</f>
        <v>0</v>
      </c>
      <c r="I162" s="7">
        <f t="shared" si="6"/>
        <v>0</v>
      </c>
      <c r="J162" s="6">
        <f t="shared" si="7"/>
        <v>0</v>
      </c>
    </row>
    <row r="163" spans="1:10" x14ac:dyDescent="0.2">
      <c r="A163" s="10">
        <v>2</v>
      </c>
      <c r="B163" s="9">
        <v>2</v>
      </c>
      <c r="C163" s="9">
        <v>7</v>
      </c>
      <c r="D163" s="9">
        <v>1</v>
      </c>
      <c r="E163" s="24" t="s">
        <v>170</v>
      </c>
      <c r="F163" s="37" t="s">
        <v>244</v>
      </c>
      <c r="G163" s="7">
        <f>'CUENTA T FONDO 100'!CA126</f>
        <v>0</v>
      </c>
      <c r="H163" s="7">
        <f>'CUENTA T VS'!CA106</f>
        <v>0</v>
      </c>
      <c r="I163" s="7">
        <f t="shared" si="6"/>
        <v>0</v>
      </c>
      <c r="J163" s="6">
        <f t="shared" si="7"/>
        <v>0</v>
      </c>
    </row>
    <row r="164" spans="1:10" x14ac:dyDescent="0.2">
      <c r="A164" s="10">
        <v>2</v>
      </c>
      <c r="B164" s="9">
        <v>2</v>
      </c>
      <c r="C164" s="9">
        <v>7</v>
      </c>
      <c r="D164" s="9">
        <v>1</v>
      </c>
      <c r="E164" s="24" t="s">
        <v>61</v>
      </c>
      <c r="F164" s="37" t="s">
        <v>243</v>
      </c>
      <c r="G164" s="7">
        <f>'CUENTA T FONDO 100'!CB126</f>
        <v>0</v>
      </c>
      <c r="H164" s="7">
        <f>'CUENTA T VS'!CB106</f>
        <v>0</v>
      </c>
      <c r="I164" s="7">
        <f t="shared" si="6"/>
        <v>0</v>
      </c>
      <c r="J164" s="6">
        <f t="shared" si="7"/>
        <v>0</v>
      </c>
    </row>
    <row r="165" spans="1:10" ht="25.5" x14ac:dyDescent="0.2">
      <c r="A165" s="10">
        <v>2</v>
      </c>
      <c r="B165" s="9">
        <v>2</v>
      </c>
      <c r="C165" s="9">
        <v>7</v>
      </c>
      <c r="D165" s="9">
        <v>1</v>
      </c>
      <c r="E165" s="24" t="s">
        <v>60</v>
      </c>
      <c r="F165" s="37" t="s">
        <v>399</v>
      </c>
      <c r="G165" s="7">
        <f>'CUENTA T FONDO 100'!CC126</f>
        <v>0</v>
      </c>
      <c r="H165" s="7">
        <f>'CUENTA T VS'!CC106</f>
        <v>0</v>
      </c>
      <c r="I165" s="7">
        <f t="shared" si="6"/>
        <v>0</v>
      </c>
      <c r="J165" s="6">
        <f t="shared" si="7"/>
        <v>0</v>
      </c>
    </row>
    <row r="166" spans="1:10" ht="25.5" x14ac:dyDescent="0.2">
      <c r="A166" s="10">
        <v>2</v>
      </c>
      <c r="B166" s="9">
        <v>2</v>
      </c>
      <c r="C166" s="9">
        <v>7</v>
      </c>
      <c r="D166" s="9">
        <v>1</v>
      </c>
      <c r="E166" s="24" t="s">
        <v>7</v>
      </c>
      <c r="F166" s="37" t="s">
        <v>242</v>
      </c>
      <c r="G166" s="7">
        <f>'CUENTA T FONDO 100'!CD126</f>
        <v>0</v>
      </c>
      <c r="H166" s="7">
        <f>'CUENTA T VS'!CD106</f>
        <v>0</v>
      </c>
      <c r="I166" s="7">
        <f t="shared" si="6"/>
        <v>0</v>
      </c>
      <c r="J166" s="6">
        <f t="shared" si="7"/>
        <v>0</v>
      </c>
    </row>
    <row r="167" spans="1:10" x14ac:dyDescent="0.2">
      <c r="A167" s="18">
        <v>2</v>
      </c>
      <c r="B167" s="15">
        <v>2</v>
      </c>
      <c r="C167" s="15">
        <v>7</v>
      </c>
      <c r="D167" s="15">
        <v>2</v>
      </c>
      <c r="E167" s="15"/>
      <c r="F167" s="38" t="s">
        <v>241</v>
      </c>
      <c r="G167" s="12">
        <f>SUM(G168:G176)</f>
        <v>1156400</v>
      </c>
      <c r="H167" s="12">
        <f>SUM(H168:H176)</f>
        <v>205899.13999999998</v>
      </c>
      <c r="I167" s="12">
        <f t="shared" si="6"/>
        <v>1362299.14</v>
      </c>
      <c r="J167" s="11"/>
    </row>
    <row r="168" spans="1:10" ht="25.5" x14ac:dyDescent="0.2">
      <c r="A168" s="10">
        <v>2</v>
      </c>
      <c r="B168" s="9">
        <v>2</v>
      </c>
      <c r="C168" s="9">
        <v>7</v>
      </c>
      <c r="D168" s="9">
        <v>2</v>
      </c>
      <c r="E168" s="24" t="s">
        <v>44</v>
      </c>
      <c r="F168" s="37" t="s">
        <v>240</v>
      </c>
      <c r="G168" s="7">
        <f>'CUENTA T FONDO 100'!CE126</f>
        <v>0</v>
      </c>
      <c r="H168" s="7">
        <f>'CUENTA T VS'!CE106</f>
        <v>0</v>
      </c>
      <c r="I168" s="7">
        <f t="shared" si="6"/>
        <v>0</v>
      </c>
      <c r="J168" s="6">
        <f t="shared" ref="J168:J176" si="8">I168/$I$25</f>
        <v>0</v>
      </c>
    </row>
    <row r="169" spans="1:10" ht="25.5" x14ac:dyDescent="0.2">
      <c r="A169" s="10">
        <v>2</v>
      </c>
      <c r="B169" s="9">
        <v>2</v>
      </c>
      <c r="C169" s="9">
        <v>7</v>
      </c>
      <c r="D169" s="9">
        <v>2</v>
      </c>
      <c r="E169" s="24" t="s">
        <v>43</v>
      </c>
      <c r="F169" s="37" t="s">
        <v>400</v>
      </c>
      <c r="G169" s="7">
        <f>'CUENTA T FONDO 100'!CF126</f>
        <v>0</v>
      </c>
      <c r="H169" s="7">
        <f>'CUENTA T VS'!CF106</f>
        <v>0</v>
      </c>
      <c r="I169" s="7">
        <f t="shared" si="6"/>
        <v>0</v>
      </c>
      <c r="J169" s="6">
        <f t="shared" si="8"/>
        <v>0</v>
      </c>
    </row>
    <row r="170" spans="1:10" x14ac:dyDescent="0.2">
      <c r="A170" s="10">
        <v>2</v>
      </c>
      <c r="B170" s="9">
        <v>2</v>
      </c>
      <c r="C170" s="9">
        <v>7</v>
      </c>
      <c r="D170" s="9">
        <v>2</v>
      </c>
      <c r="E170" s="24" t="s">
        <v>104</v>
      </c>
      <c r="F170" s="37" t="s">
        <v>239</v>
      </c>
      <c r="G170" s="7">
        <f>'CUENTA T FONDO 100'!CG126</f>
        <v>0</v>
      </c>
      <c r="H170" s="7">
        <f>'CUENTA T VS'!CG106</f>
        <v>0</v>
      </c>
      <c r="I170" s="7">
        <f t="shared" si="6"/>
        <v>0</v>
      </c>
      <c r="J170" s="6">
        <f t="shared" si="8"/>
        <v>0</v>
      </c>
    </row>
    <row r="171" spans="1:10" ht="25.5" x14ac:dyDescent="0.2">
      <c r="A171" s="10">
        <v>2</v>
      </c>
      <c r="B171" s="9">
        <v>2</v>
      </c>
      <c r="C171" s="9">
        <v>7</v>
      </c>
      <c r="D171" s="9">
        <v>2</v>
      </c>
      <c r="E171" s="24" t="s">
        <v>172</v>
      </c>
      <c r="F171" s="37" t="s">
        <v>238</v>
      </c>
      <c r="G171" s="7">
        <f>'CUENTA T FONDO 100'!CH126</f>
        <v>0</v>
      </c>
      <c r="H171" s="7">
        <f>'CUENTA T VS'!CH106</f>
        <v>0</v>
      </c>
      <c r="I171" s="7">
        <f t="shared" si="6"/>
        <v>0</v>
      </c>
      <c r="J171" s="6">
        <f t="shared" si="8"/>
        <v>0</v>
      </c>
    </row>
    <row r="172" spans="1:10" ht="25.5" x14ac:dyDescent="0.2">
      <c r="A172" s="10">
        <v>2</v>
      </c>
      <c r="B172" s="9">
        <v>2</v>
      </c>
      <c r="C172" s="9">
        <v>7</v>
      </c>
      <c r="D172" s="9">
        <v>2</v>
      </c>
      <c r="E172" s="24" t="s">
        <v>170</v>
      </c>
      <c r="F172" s="37" t="s">
        <v>237</v>
      </c>
      <c r="G172" s="7">
        <f>'CUENTA T FONDO 100'!CI126</f>
        <v>0</v>
      </c>
      <c r="H172" s="7">
        <f>'CUENTA T VS'!CI106</f>
        <v>0</v>
      </c>
      <c r="I172" s="7">
        <f t="shared" si="6"/>
        <v>0</v>
      </c>
      <c r="J172" s="6">
        <f t="shared" si="8"/>
        <v>0</v>
      </c>
    </row>
    <row r="173" spans="1:10" ht="25.5" x14ac:dyDescent="0.2">
      <c r="A173" s="10">
        <v>2</v>
      </c>
      <c r="B173" s="9">
        <v>2</v>
      </c>
      <c r="C173" s="9">
        <v>7</v>
      </c>
      <c r="D173" s="9">
        <v>2</v>
      </c>
      <c r="E173" s="24" t="s">
        <v>61</v>
      </c>
      <c r="F173" s="33" t="s">
        <v>236</v>
      </c>
      <c r="G173" s="7">
        <f>'CUENTA T FONDO 100'!CJ126</f>
        <v>0</v>
      </c>
      <c r="H173" s="7">
        <f>'CUENTA T VS'!CJ106</f>
        <v>0</v>
      </c>
      <c r="I173" s="7">
        <f t="shared" si="6"/>
        <v>0</v>
      </c>
      <c r="J173" s="6">
        <f t="shared" si="8"/>
        <v>0</v>
      </c>
    </row>
    <row r="174" spans="1:10" ht="25.5" x14ac:dyDescent="0.2">
      <c r="A174" s="10">
        <v>2</v>
      </c>
      <c r="B174" s="9">
        <v>2</v>
      </c>
      <c r="C174" s="9">
        <v>7</v>
      </c>
      <c r="D174" s="9">
        <v>2</v>
      </c>
      <c r="E174" s="24" t="s">
        <v>60</v>
      </c>
      <c r="F174" s="33" t="s">
        <v>235</v>
      </c>
      <c r="G174" s="7">
        <f>'CUENTA T FONDO 100'!CK126</f>
        <v>0</v>
      </c>
      <c r="H174" s="7">
        <f>'CUENTA T VS'!CK106</f>
        <v>0</v>
      </c>
      <c r="I174" s="7">
        <f t="shared" si="6"/>
        <v>0</v>
      </c>
      <c r="J174" s="6">
        <f t="shared" si="8"/>
        <v>0</v>
      </c>
    </row>
    <row r="175" spans="1:10" ht="25.5" x14ac:dyDescent="0.2">
      <c r="A175" s="10">
        <v>2</v>
      </c>
      <c r="B175" s="9">
        <v>2</v>
      </c>
      <c r="C175" s="9">
        <v>7</v>
      </c>
      <c r="D175" s="9">
        <v>2</v>
      </c>
      <c r="E175" s="24" t="s">
        <v>234</v>
      </c>
      <c r="F175" s="33" t="s">
        <v>233</v>
      </c>
      <c r="G175" s="7">
        <f>'CUENTA T FONDO 100'!CL126</f>
        <v>1156400</v>
      </c>
      <c r="H175" s="7">
        <f>'CUENTA T VS'!CL106</f>
        <v>205899.13999999998</v>
      </c>
      <c r="I175" s="7">
        <f t="shared" si="6"/>
        <v>1362299.14</v>
      </c>
      <c r="J175" s="6">
        <f t="shared" si="8"/>
        <v>1.3553883290889896E-2</v>
      </c>
    </row>
    <row r="176" spans="1:10" ht="38.25" x14ac:dyDescent="0.2">
      <c r="A176" s="10">
        <v>2</v>
      </c>
      <c r="B176" s="9">
        <v>2</v>
      </c>
      <c r="C176" s="9">
        <v>7</v>
      </c>
      <c r="D176" s="9">
        <v>2</v>
      </c>
      <c r="E176" s="24" t="s">
        <v>7</v>
      </c>
      <c r="F176" s="33" t="s">
        <v>232</v>
      </c>
      <c r="G176" s="7">
        <f>'CUENTA T FONDO 100'!CM126</f>
        <v>0</v>
      </c>
      <c r="H176" s="7">
        <f>'CUENTA T VS'!CM106</f>
        <v>0</v>
      </c>
      <c r="I176" s="7">
        <f t="shared" si="6"/>
        <v>0</v>
      </c>
      <c r="J176" s="6">
        <f t="shared" si="8"/>
        <v>0</v>
      </c>
    </row>
    <row r="177" spans="1:10" x14ac:dyDescent="0.2">
      <c r="A177" s="16">
        <v>2</v>
      </c>
      <c r="B177" s="15">
        <v>2</v>
      </c>
      <c r="C177" s="15">
        <v>7</v>
      </c>
      <c r="D177" s="15">
        <v>3</v>
      </c>
      <c r="E177" s="14"/>
      <c r="F177" s="16" t="s">
        <v>231</v>
      </c>
      <c r="G177" s="12">
        <f>SUM(G178)</f>
        <v>0</v>
      </c>
      <c r="H177" s="12">
        <f>SUM(H178)</f>
        <v>0</v>
      </c>
      <c r="I177" s="12">
        <f t="shared" si="6"/>
        <v>0</v>
      </c>
      <c r="J177" s="11"/>
    </row>
    <row r="178" spans="1:10" x14ac:dyDescent="0.2">
      <c r="A178" s="10">
        <v>2</v>
      </c>
      <c r="B178" s="9">
        <v>2</v>
      </c>
      <c r="C178" s="9">
        <v>7</v>
      </c>
      <c r="D178" s="9">
        <v>3</v>
      </c>
      <c r="E178" s="24" t="s">
        <v>44</v>
      </c>
      <c r="F178" s="10" t="s">
        <v>231</v>
      </c>
      <c r="G178" s="7">
        <f>'CUENTA T FONDO 100'!CN126</f>
        <v>0</v>
      </c>
      <c r="H178" s="7">
        <f>'CUENTA T VS'!CN106</f>
        <v>0</v>
      </c>
      <c r="I178" s="7">
        <f t="shared" si="6"/>
        <v>0</v>
      </c>
      <c r="J178" s="6">
        <f>I178/$I$25</f>
        <v>0</v>
      </c>
    </row>
    <row r="179" spans="1:10" x14ac:dyDescent="0.2">
      <c r="A179" s="30">
        <v>2</v>
      </c>
      <c r="B179" s="22">
        <v>2</v>
      </c>
      <c r="C179" s="22">
        <v>8</v>
      </c>
      <c r="D179" s="22"/>
      <c r="E179" s="22"/>
      <c r="F179" s="30" t="s">
        <v>230</v>
      </c>
      <c r="G179" s="20">
        <f>+G180+G182+G184+G186+G188+G192+G197+G204</f>
        <v>413000</v>
      </c>
      <c r="H179" s="20">
        <f>+H180+H182+H184+H186+H188+H192+H197+H204</f>
        <v>134049.4</v>
      </c>
      <c r="I179" s="20">
        <f t="shared" si="6"/>
        <v>547049.4</v>
      </c>
      <c r="J179" s="19"/>
    </row>
    <row r="180" spans="1:10" x14ac:dyDescent="0.2">
      <c r="A180" s="16">
        <v>2</v>
      </c>
      <c r="B180" s="15">
        <v>2</v>
      </c>
      <c r="C180" s="15">
        <v>8</v>
      </c>
      <c r="D180" s="15">
        <v>1</v>
      </c>
      <c r="E180" s="15"/>
      <c r="F180" s="16" t="s">
        <v>59</v>
      </c>
      <c r="G180" s="12">
        <f>SUM(G181)</f>
        <v>0</v>
      </c>
      <c r="H180" s="12">
        <f>SUM(H181)</f>
        <v>0</v>
      </c>
      <c r="I180" s="12">
        <f t="shared" si="6"/>
        <v>0</v>
      </c>
      <c r="J180" s="11"/>
    </row>
    <row r="181" spans="1:10" x14ac:dyDescent="0.2">
      <c r="A181" s="10">
        <v>2</v>
      </c>
      <c r="B181" s="9">
        <v>2</v>
      </c>
      <c r="C181" s="9">
        <v>8</v>
      </c>
      <c r="D181" s="9">
        <v>1</v>
      </c>
      <c r="E181" s="24" t="s">
        <v>44</v>
      </c>
      <c r="F181" s="10" t="s">
        <v>59</v>
      </c>
      <c r="G181" s="7">
        <f>'CUENTA T FONDO 100'!CO126</f>
        <v>0</v>
      </c>
      <c r="H181" s="7">
        <f>'CUENTA T VS'!CO106</f>
        <v>0</v>
      </c>
      <c r="I181" s="7">
        <f t="shared" si="6"/>
        <v>0</v>
      </c>
      <c r="J181" s="6">
        <f>I181/$I$25</f>
        <v>0</v>
      </c>
    </row>
    <row r="182" spans="1:10" x14ac:dyDescent="0.2">
      <c r="A182" s="16">
        <v>2</v>
      </c>
      <c r="B182" s="15">
        <v>2</v>
      </c>
      <c r="C182" s="15">
        <v>8</v>
      </c>
      <c r="D182" s="15">
        <v>2</v>
      </c>
      <c r="E182" s="15"/>
      <c r="F182" s="16" t="s">
        <v>58</v>
      </c>
      <c r="G182" s="12">
        <f>SUM(G183)</f>
        <v>0</v>
      </c>
      <c r="H182" s="12">
        <f>SUM(H183)</f>
        <v>0</v>
      </c>
      <c r="I182" s="12">
        <f t="shared" si="6"/>
        <v>0</v>
      </c>
      <c r="J182" s="11"/>
    </row>
    <row r="183" spans="1:10" x14ac:dyDescent="0.2">
      <c r="A183" s="10">
        <v>2</v>
      </c>
      <c r="B183" s="9">
        <v>2</v>
      </c>
      <c r="C183" s="9">
        <v>8</v>
      </c>
      <c r="D183" s="9">
        <v>2</v>
      </c>
      <c r="E183" s="24" t="s">
        <v>44</v>
      </c>
      <c r="F183" s="10" t="s">
        <v>58</v>
      </c>
      <c r="G183" s="7">
        <f>'CUENTA T FONDO 100'!CP126</f>
        <v>0</v>
      </c>
      <c r="H183" s="7">
        <f>'CUENTA T VS'!CP106</f>
        <v>0</v>
      </c>
      <c r="I183" s="7">
        <f t="shared" si="6"/>
        <v>0</v>
      </c>
      <c r="J183" s="6">
        <f>I183/$I$25</f>
        <v>0</v>
      </c>
    </row>
    <row r="184" spans="1:10" x14ac:dyDescent="0.2">
      <c r="A184" s="16">
        <v>2</v>
      </c>
      <c r="B184" s="15">
        <v>2</v>
      </c>
      <c r="C184" s="15">
        <v>8</v>
      </c>
      <c r="D184" s="15">
        <v>3</v>
      </c>
      <c r="E184" s="15"/>
      <c r="F184" s="16" t="s">
        <v>229</v>
      </c>
      <c r="G184" s="12">
        <f>SUM(G185)</f>
        <v>0</v>
      </c>
      <c r="H184" s="12">
        <f>SUM(H185)</f>
        <v>0</v>
      </c>
      <c r="I184" s="12">
        <f t="shared" si="6"/>
        <v>0</v>
      </c>
      <c r="J184" s="11"/>
    </row>
    <row r="185" spans="1:10" x14ac:dyDescent="0.2">
      <c r="A185" s="10">
        <v>2</v>
      </c>
      <c r="B185" s="9">
        <v>2</v>
      </c>
      <c r="C185" s="9">
        <v>8</v>
      </c>
      <c r="D185" s="9">
        <v>3</v>
      </c>
      <c r="E185" s="24" t="s">
        <v>44</v>
      </c>
      <c r="F185" s="10" t="s">
        <v>229</v>
      </c>
      <c r="G185" s="7">
        <f>'CUENTA T FONDO 100'!CQ126</f>
        <v>0</v>
      </c>
      <c r="H185" s="7">
        <f>'CUENTA T VS'!CQ106</f>
        <v>0</v>
      </c>
      <c r="I185" s="7">
        <f t="shared" si="6"/>
        <v>0</v>
      </c>
      <c r="J185" s="6">
        <f>I185/$I$25</f>
        <v>0</v>
      </c>
    </row>
    <row r="186" spans="1:10" x14ac:dyDescent="0.2">
      <c r="A186" s="16">
        <v>2</v>
      </c>
      <c r="B186" s="15">
        <v>2</v>
      </c>
      <c r="C186" s="15">
        <v>8</v>
      </c>
      <c r="D186" s="15">
        <v>4</v>
      </c>
      <c r="E186" s="15"/>
      <c r="F186" s="16" t="s">
        <v>57</v>
      </c>
      <c r="G186" s="12">
        <f>SUM(G187)</f>
        <v>0</v>
      </c>
      <c r="H186" s="12">
        <f>SUM(H187)</f>
        <v>0</v>
      </c>
      <c r="I186" s="12">
        <f t="shared" si="6"/>
        <v>0</v>
      </c>
      <c r="J186" s="11"/>
    </row>
    <row r="187" spans="1:10" x14ac:dyDescent="0.2">
      <c r="A187" s="10">
        <v>2</v>
      </c>
      <c r="B187" s="9">
        <v>2</v>
      </c>
      <c r="C187" s="9">
        <v>8</v>
      </c>
      <c r="D187" s="9">
        <v>4</v>
      </c>
      <c r="E187" s="24" t="s">
        <v>44</v>
      </c>
      <c r="F187" s="10" t="s">
        <v>57</v>
      </c>
      <c r="G187" s="7">
        <f>'CUENTA T FONDO 100'!CR126</f>
        <v>0</v>
      </c>
      <c r="H187" s="7">
        <f>'CUENTA T VS'!CR106</f>
        <v>0</v>
      </c>
      <c r="I187" s="7">
        <f t="shared" si="6"/>
        <v>0</v>
      </c>
      <c r="J187" s="6">
        <f>I187/$I$25</f>
        <v>0</v>
      </c>
    </row>
    <row r="188" spans="1:10" x14ac:dyDescent="0.2">
      <c r="A188" s="16">
        <v>2</v>
      </c>
      <c r="B188" s="15">
        <v>2</v>
      </c>
      <c r="C188" s="15">
        <v>8</v>
      </c>
      <c r="D188" s="15">
        <v>5</v>
      </c>
      <c r="E188" s="15"/>
      <c r="F188" s="16" t="s">
        <v>56</v>
      </c>
      <c r="G188" s="12">
        <f>SUM(G189:G191)</f>
        <v>0</v>
      </c>
      <c r="H188" s="12">
        <f>SUM(H189:H191)</f>
        <v>92016.4</v>
      </c>
      <c r="I188" s="12">
        <f t="shared" si="6"/>
        <v>92016.4</v>
      </c>
      <c r="J188" s="11"/>
    </row>
    <row r="189" spans="1:10" x14ac:dyDescent="0.2">
      <c r="A189" s="10">
        <v>2</v>
      </c>
      <c r="B189" s="9">
        <v>2</v>
      </c>
      <c r="C189" s="9">
        <v>8</v>
      </c>
      <c r="D189" s="9">
        <v>5</v>
      </c>
      <c r="E189" s="24" t="s">
        <v>44</v>
      </c>
      <c r="F189" s="10" t="s">
        <v>55</v>
      </c>
      <c r="G189" s="7">
        <f>'CUENTA T FONDO 100'!CS126</f>
        <v>0</v>
      </c>
      <c r="H189" s="7">
        <f>'CUENTA T VS'!CS106</f>
        <v>0</v>
      </c>
      <c r="I189" s="7">
        <f t="shared" si="6"/>
        <v>0</v>
      </c>
      <c r="J189" s="6">
        <f>I189/$I$25</f>
        <v>0</v>
      </c>
    </row>
    <row r="190" spans="1:10" x14ac:dyDescent="0.2">
      <c r="A190" s="10">
        <v>2</v>
      </c>
      <c r="B190" s="9">
        <v>2</v>
      </c>
      <c r="C190" s="9">
        <v>8</v>
      </c>
      <c r="D190" s="9">
        <v>5</v>
      </c>
      <c r="E190" s="24" t="s">
        <v>43</v>
      </c>
      <c r="F190" s="10" t="s">
        <v>54</v>
      </c>
      <c r="G190" s="7">
        <f>'CUENTA T FONDO 100'!CT126</f>
        <v>0</v>
      </c>
      <c r="H190" s="7">
        <f>'CUENTA T VS'!CT106</f>
        <v>0</v>
      </c>
      <c r="I190" s="7">
        <f t="shared" si="6"/>
        <v>0</v>
      </c>
      <c r="J190" s="6">
        <f>I190/$I$25</f>
        <v>0</v>
      </c>
    </row>
    <row r="191" spans="1:10" x14ac:dyDescent="0.2">
      <c r="A191" s="10">
        <v>2</v>
      </c>
      <c r="B191" s="9">
        <v>2</v>
      </c>
      <c r="C191" s="9">
        <v>8</v>
      </c>
      <c r="D191" s="9">
        <v>5</v>
      </c>
      <c r="E191" s="24" t="s">
        <v>104</v>
      </c>
      <c r="F191" s="10" t="s">
        <v>53</v>
      </c>
      <c r="G191" s="7">
        <f>'CUENTA T FONDO 100'!CU126</f>
        <v>0</v>
      </c>
      <c r="H191" s="7">
        <f>'CUENTA T VS'!CU106</f>
        <v>92016.4</v>
      </c>
      <c r="I191" s="7">
        <f t="shared" si="6"/>
        <v>92016.4</v>
      </c>
      <c r="J191" s="6">
        <f>I191/$I$25</f>
        <v>9.1549609761028045E-4</v>
      </c>
    </row>
    <row r="192" spans="1:10" x14ac:dyDescent="0.2">
      <c r="A192" s="16">
        <v>2</v>
      </c>
      <c r="B192" s="15">
        <v>2</v>
      </c>
      <c r="C192" s="15">
        <v>8</v>
      </c>
      <c r="D192" s="15">
        <v>6</v>
      </c>
      <c r="E192" s="15"/>
      <c r="F192" s="16" t="s">
        <v>52</v>
      </c>
      <c r="G192" s="12">
        <f>SUM(G193:G196)</f>
        <v>0</v>
      </c>
      <c r="H192" s="12">
        <f>SUM(H193:H196)</f>
        <v>0</v>
      </c>
      <c r="I192" s="12">
        <f t="shared" si="6"/>
        <v>0</v>
      </c>
      <c r="J192" s="11"/>
    </row>
    <row r="193" spans="1:10" x14ac:dyDescent="0.2">
      <c r="A193" s="10">
        <v>2</v>
      </c>
      <c r="B193" s="9">
        <v>2</v>
      </c>
      <c r="C193" s="9">
        <v>8</v>
      </c>
      <c r="D193" s="9">
        <v>6</v>
      </c>
      <c r="E193" s="24" t="s">
        <v>44</v>
      </c>
      <c r="F193" s="10" t="s">
        <v>228</v>
      </c>
      <c r="G193" s="7">
        <f>'CUENTA T FONDO 100'!CV126</f>
        <v>0</v>
      </c>
      <c r="H193" s="7">
        <f>'CUENTA T VS'!CV106</f>
        <v>0</v>
      </c>
      <c r="I193" s="7">
        <f t="shared" si="6"/>
        <v>0</v>
      </c>
      <c r="J193" s="6">
        <f>I193/$I$25</f>
        <v>0</v>
      </c>
    </row>
    <row r="194" spans="1:10" x14ac:dyDescent="0.2">
      <c r="A194" s="10">
        <v>2</v>
      </c>
      <c r="B194" s="9">
        <v>2</v>
      </c>
      <c r="C194" s="9">
        <v>8</v>
      </c>
      <c r="D194" s="9">
        <v>6</v>
      </c>
      <c r="E194" s="24" t="s">
        <v>43</v>
      </c>
      <c r="F194" s="10" t="s">
        <v>51</v>
      </c>
      <c r="G194" s="7">
        <f>'CUENTA T FONDO 100'!CW126</f>
        <v>0</v>
      </c>
      <c r="H194" s="7">
        <f>'CUENTA T VS'!CW106</f>
        <v>0</v>
      </c>
      <c r="I194" s="7">
        <f t="shared" si="6"/>
        <v>0</v>
      </c>
      <c r="J194" s="6">
        <f>I194/$I$25</f>
        <v>0</v>
      </c>
    </row>
    <row r="195" spans="1:10" x14ac:dyDescent="0.2">
      <c r="A195" s="10">
        <v>2</v>
      </c>
      <c r="B195" s="9">
        <v>2</v>
      </c>
      <c r="C195" s="9">
        <v>8</v>
      </c>
      <c r="D195" s="9">
        <v>6</v>
      </c>
      <c r="E195" s="24" t="s">
        <v>104</v>
      </c>
      <c r="F195" s="10" t="s">
        <v>227</v>
      </c>
      <c r="G195" s="7">
        <f>'CUENTA T FONDO 100'!CX126</f>
        <v>0</v>
      </c>
      <c r="H195" s="7">
        <f>'CUENTA T VS'!CX106</f>
        <v>0</v>
      </c>
      <c r="I195" s="7">
        <f t="shared" si="6"/>
        <v>0</v>
      </c>
      <c r="J195" s="6">
        <f>I195/$I$25</f>
        <v>0</v>
      </c>
    </row>
    <row r="196" spans="1:10" x14ac:dyDescent="0.2">
      <c r="A196" s="10">
        <v>2</v>
      </c>
      <c r="B196" s="9">
        <v>2</v>
      </c>
      <c r="C196" s="9">
        <v>8</v>
      </c>
      <c r="D196" s="9">
        <v>6</v>
      </c>
      <c r="E196" s="24" t="s">
        <v>172</v>
      </c>
      <c r="F196" s="10" t="s">
        <v>226</v>
      </c>
      <c r="G196" s="7">
        <f>'CUENTA T FONDO 100'!CY126</f>
        <v>0</v>
      </c>
      <c r="H196" s="7">
        <f>'CUENTA T VS'!CY106</f>
        <v>0</v>
      </c>
      <c r="I196" s="7">
        <f t="shared" si="6"/>
        <v>0</v>
      </c>
      <c r="J196" s="6">
        <f>I196/$I$25</f>
        <v>0</v>
      </c>
    </row>
    <row r="197" spans="1:10" x14ac:dyDescent="0.2">
      <c r="A197" s="16">
        <v>2</v>
      </c>
      <c r="B197" s="15">
        <v>2</v>
      </c>
      <c r="C197" s="15">
        <v>8</v>
      </c>
      <c r="D197" s="15">
        <v>7</v>
      </c>
      <c r="E197" s="15"/>
      <c r="F197" s="16" t="s">
        <v>225</v>
      </c>
      <c r="G197" s="12">
        <f>SUM(G198:G203)</f>
        <v>413000</v>
      </c>
      <c r="H197" s="12">
        <f>SUM(H198:H203)</f>
        <v>42033</v>
      </c>
      <c r="I197" s="12">
        <f t="shared" si="6"/>
        <v>455033</v>
      </c>
      <c r="J197" s="11"/>
    </row>
    <row r="198" spans="1:10" x14ac:dyDescent="0.2">
      <c r="A198" s="10">
        <v>2</v>
      </c>
      <c r="B198" s="9">
        <v>2</v>
      </c>
      <c r="C198" s="9">
        <v>8</v>
      </c>
      <c r="D198" s="9">
        <v>7</v>
      </c>
      <c r="E198" s="24" t="s">
        <v>44</v>
      </c>
      <c r="F198" s="33" t="s">
        <v>224</v>
      </c>
      <c r="G198" s="7">
        <f>'CUENTA T FONDO 100'!CZ126</f>
        <v>413000</v>
      </c>
      <c r="H198" s="7">
        <f>'CUENTA T VS'!CZ106</f>
        <v>0</v>
      </c>
      <c r="I198" s="7">
        <f t="shared" si="6"/>
        <v>413000</v>
      </c>
      <c r="J198" s="6">
        <f t="shared" ref="J198:J203" si="9">I198/$I$25</f>
        <v>4.1090489120748676E-3</v>
      </c>
    </row>
    <row r="199" spans="1:10" x14ac:dyDescent="0.2">
      <c r="A199" s="10">
        <v>2</v>
      </c>
      <c r="B199" s="9">
        <v>2</v>
      </c>
      <c r="C199" s="9">
        <v>8</v>
      </c>
      <c r="D199" s="9">
        <v>7</v>
      </c>
      <c r="E199" s="24" t="s">
        <v>43</v>
      </c>
      <c r="F199" s="33" t="s">
        <v>223</v>
      </c>
      <c r="G199" s="7">
        <f>'CUENTA T FONDO 100'!DA126</f>
        <v>0</v>
      </c>
      <c r="H199" s="7">
        <f>'CUENTA T VS'!DA106</f>
        <v>0</v>
      </c>
      <c r="I199" s="7">
        <f t="shared" si="6"/>
        <v>0</v>
      </c>
      <c r="J199" s="6">
        <f t="shared" si="9"/>
        <v>0</v>
      </c>
    </row>
    <row r="200" spans="1:10" x14ac:dyDescent="0.2">
      <c r="A200" s="10">
        <v>2</v>
      </c>
      <c r="B200" s="9">
        <v>2</v>
      </c>
      <c r="C200" s="9">
        <v>8</v>
      </c>
      <c r="D200" s="9">
        <v>7</v>
      </c>
      <c r="E200" s="24" t="s">
        <v>104</v>
      </c>
      <c r="F200" s="33" t="s">
        <v>222</v>
      </c>
      <c r="G200" s="7">
        <f>'CUENTA T FONDO 100'!DB126</f>
        <v>0</v>
      </c>
      <c r="H200" s="7">
        <f>'CUENTA T VS'!DB106</f>
        <v>0</v>
      </c>
      <c r="I200" s="7">
        <f t="shared" si="6"/>
        <v>0</v>
      </c>
      <c r="J200" s="6">
        <f t="shared" si="9"/>
        <v>0</v>
      </c>
    </row>
    <row r="201" spans="1:10" x14ac:dyDescent="0.2">
      <c r="A201" s="10">
        <v>2</v>
      </c>
      <c r="B201" s="9">
        <v>2</v>
      </c>
      <c r="C201" s="9">
        <v>8</v>
      </c>
      <c r="D201" s="9">
        <v>7</v>
      </c>
      <c r="E201" s="24" t="s">
        <v>172</v>
      </c>
      <c r="F201" s="33" t="s">
        <v>221</v>
      </c>
      <c r="G201" s="7">
        <f>'CUENTA T FONDO 100'!DC126</f>
        <v>0</v>
      </c>
      <c r="H201" s="7">
        <f>'CUENTA T VS'!DC106</f>
        <v>0</v>
      </c>
      <c r="I201" s="7">
        <f t="shared" si="6"/>
        <v>0</v>
      </c>
      <c r="J201" s="6">
        <f t="shared" si="9"/>
        <v>0</v>
      </c>
    </row>
    <row r="202" spans="1:10" x14ac:dyDescent="0.2">
      <c r="A202" s="10">
        <v>2</v>
      </c>
      <c r="B202" s="9">
        <v>2</v>
      </c>
      <c r="C202" s="9">
        <v>8</v>
      </c>
      <c r="D202" s="9">
        <v>7</v>
      </c>
      <c r="E202" s="24" t="s">
        <v>170</v>
      </c>
      <c r="F202" s="33" t="s">
        <v>220</v>
      </c>
      <c r="G202" s="7">
        <f>'CUENTA T FONDO 100'!DD126</f>
        <v>0</v>
      </c>
      <c r="H202" s="7">
        <f>'CUENTA T VS'!DD106</f>
        <v>0</v>
      </c>
      <c r="I202" s="7">
        <f t="shared" si="6"/>
        <v>0</v>
      </c>
      <c r="J202" s="6">
        <f t="shared" si="9"/>
        <v>0</v>
      </c>
    </row>
    <row r="203" spans="1:10" x14ac:dyDescent="0.2">
      <c r="A203" s="10">
        <v>2</v>
      </c>
      <c r="B203" s="9">
        <v>2</v>
      </c>
      <c r="C203" s="9">
        <v>8</v>
      </c>
      <c r="D203" s="9">
        <v>7</v>
      </c>
      <c r="E203" s="24" t="s">
        <v>61</v>
      </c>
      <c r="F203" s="33" t="s">
        <v>219</v>
      </c>
      <c r="G203" s="7">
        <f>'CUENTA T FONDO 100'!DE126</f>
        <v>0</v>
      </c>
      <c r="H203" s="7">
        <f>'CUENTA T VS'!DE106</f>
        <v>42033</v>
      </c>
      <c r="I203" s="7">
        <f t="shared" si="6"/>
        <v>42033</v>
      </c>
      <c r="J203" s="6">
        <f t="shared" si="9"/>
        <v>4.1819770683109667E-4</v>
      </c>
    </row>
    <row r="204" spans="1:10" x14ac:dyDescent="0.2">
      <c r="A204" s="16">
        <v>2</v>
      </c>
      <c r="B204" s="15">
        <v>2</v>
      </c>
      <c r="C204" s="15">
        <v>8</v>
      </c>
      <c r="D204" s="15">
        <v>8</v>
      </c>
      <c r="E204" s="15"/>
      <c r="F204" s="34" t="s">
        <v>50</v>
      </c>
      <c r="G204" s="12">
        <f>SUM(G205:G207)</f>
        <v>0</v>
      </c>
      <c r="H204" s="12">
        <f>SUM(H205:H207)</f>
        <v>0</v>
      </c>
      <c r="I204" s="12">
        <f t="shared" si="6"/>
        <v>0</v>
      </c>
      <c r="J204" s="11"/>
    </row>
    <row r="205" spans="1:10" x14ac:dyDescent="0.2">
      <c r="A205" s="10">
        <v>2</v>
      </c>
      <c r="B205" s="9">
        <v>2</v>
      </c>
      <c r="C205" s="9">
        <v>8</v>
      </c>
      <c r="D205" s="9">
        <v>8</v>
      </c>
      <c r="E205" s="24" t="s">
        <v>44</v>
      </c>
      <c r="F205" s="33" t="s">
        <v>49</v>
      </c>
      <c r="G205" s="7">
        <f>'CUENTA T FONDO 100'!DF126</f>
        <v>0</v>
      </c>
      <c r="H205" s="7">
        <f>'CUENTA T VS'!DF106</f>
        <v>0</v>
      </c>
      <c r="I205" s="7">
        <f t="shared" si="6"/>
        <v>0</v>
      </c>
      <c r="J205" s="6">
        <f>I205/$I$25</f>
        <v>0</v>
      </c>
    </row>
    <row r="206" spans="1:10" x14ac:dyDescent="0.2">
      <c r="A206" s="10">
        <v>2</v>
      </c>
      <c r="B206" s="9">
        <v>2</v>
      </c>
      <c r="C206" s="9">
        <v>8</v>
      </c>
      <c r="D206" s="9">
        <v>8</v>
      </c>
      <c r="E206" s="24" t="s">
        <v>43</v>
      </c>
      <c r="F206" s="33" t="s">
        <v>48</v>
      </c>
      <c r="G206" s="7">
        <f>'CUENTA T FONDO 100'!DG126</f>
        <v>0</v>
      </c>
      <c r="H206" s="7">
        <f>'CUENTA T VS'!DG106</f>
        <v>0</v>
      </c>
      <c r="I206" s="7">
        <f t="shared" si="6"/>
        <v>0</v>
      </c>
      <c r="J206" s="6">
        <f>I206/$I$25</f>
        <v>0</v>
      </c>
    </row>
    <row r="207" spans="1:10" x14ac:dyDescent="0.2">
      <c r="A207" s="10">
        <v>2</v>
      </c>
      <c r="B207" s="9">
        <v>2</v>
      </c>
      <c r="C207" s="9">
        <v>8</v>
      </c>
      <c r="D207" s="9">
        <v>8</v>
      </c>
      <c r="E207" s="24" t="s">
        <v>104</v>
      </c>
      <c r="F207" s="33" t="s">
        <v>47</v>
      </c>
      <c r="G207" s="7">
        <f>'CUENTA T FONDO 100'!DH126</f>
        <v>0</v>
      </c>
      <c r="H207" s="7">
        <f>'CUENTA T VS'!DH106</f>
        <v>0</v>
      </c>
      <c r="I207" s="7">
        <f t="shared" si="6"/>
        <v>0</v>
      </c>
      <c r="J207" s="6">
        <f>I207/$I$25</f>
        <v>0</v>
      </c>
    </row>
    <row r="208" spans="1:10" x14ac:dyDescent="0.2">
      <c r="A208" s="30">
        <v>2</v>
      </c>
      <c r="B208" s="22">
        <v>2</v>
      </c>
      <c r="C208" s="22">
        <v>9</v>
      </c>
      <c r="D208" s="22"/>
      <c r="E208" s="22"/>
      <c r="F208" s="30" t="s">
        <v>218</v>
      </c>
      <c r="G208" s="20">
        <f t="shared" ref="G208:H208" si="10">+G209</f>
        <v>0</v>
      </c>
      <c r="H208" s="20">
        <f t="shared" si="10"/>
        <v>0</v>
      </c>
      <c r="I208" s="20">
        <f t="shared" si="6"/>
        <v>0</v>
      </c>
      <c r="J208" s="19"/>
    </row>
    <row r="209" spans="1:10" x14ac:dyDescent="0.2">
      <c r="A209" s="16">
        <v>2</v>
      </c>
      <c r="B209" s="15">
        <v>2</v>
      </c>
      <c r="C209" s="15">
        <v>9</v>
      </c>
      <c r="D209" s="15">
        <v>2</v>
      </c>
      <c r="E209" s="15"/>
      <c r="F209" s="16" t="s">
        <v>46</v>
      </c>
      <c r="G209" s="12">
        <f>G210+G211</f>
        <v>0</v>
      </c>
      <c r="H209" s="12">
        <f t="shared" ref="H209" si="11">H210+H211</f>
        <v>0</v>
      </c>
      <c r="I209" s="12">
        <f t="shared" si="6"/>
        <v>0</v>
      </c>
      <c r="J209" s="11"/>
    </row>
    <row r="210" spans="1:10" x14ac:dyDescent="0.2">
      <c r="A210" s="10">
        <v>2</v>
      </c>
      <c r="B210" s="9">
        <v>2</v>
      </c>
      <c r="C210" s="9">
        <v>9</v>
      </c>
      <c r="D210" s="9">
        <v>2</v>
      </c>
      <c r="E210" s="24" t="s">
        <v>44</v>
      </c>
      <c r="F210" s="33" t="s">
        <v>384</v>
      </c>
      <c r="G210" s="7">
        <f>'CUENTA T FONDO 100'!DI126</f>
        <v>0</v>
      </c>
      <c r="H210" s="7">
        <f>'CUENTA T VS'!DI106</f>
        <v>0</v>
      </c>
      <c r="I210" s="7">
        <f t="shared" si="6"/>
        <v>0</v>
      </c>
      <c r="J210" s="6">
        <f>I210/$I$25</f>
        <v>0</v>
      </c>
    </row>
    <row r="211" spans="1:10" x14ac:dyDescent="0.2">
      <c r="A211" s="10">
        <v>2</v>
      </c>
      <c r="B211" s="9">
        <v>2</v>
      </c>
      <c r="C211" s="9">
        <v>9</v>
      </c>
      <c r="D211" s="9">
        <v>2</v>
      </c>
      <c r="E211" s="24" t="s">
        <v>104</v>
      </c>
      <c r="F211" s="33" t="s">
        <v>385</v>
      </c>
      <c r="G211" s="7">
        <f>'CUENTA T FONDO 100'!DJ126</f>
        <v>0</v>
      </c>
      <c r="H211" s="7">
        <f>'CUENTA T VS'!DJ106</f>
        <v>0</v>
      </c>
      <c r="I211" s="7">
        <f t="shared" si="6"/>
        <v>0</v>
      </c>
      <c r="J211" s="6">
        <f>I211/$I$25</f>
        <v>0</v>
      </c>
    </row>
    <row r="212" spans="1:10" x14ac:dyDescent="0.2">
      <c r="A212" s="23">
        <v>2</v>
      </c>
      <c r="B212" s="22">
        <v>3</v>
      </c>
      <c r="C212" s="22"/>
      <c r="D212" s="22"/>
      <c r="E212" s="22"/>
      <c r="F212" s="30" t="s">
        <v>217</v>
      </c>
      <c r="G212" s="20">
        <f>G213+G225+G232+G245+G250+G261+G286+G303+G308</f>
        <v>16608513.620000001</v>
      </c>
      <c r="H212" s="20">
        <f>H213+H225+H232+H245+H250+H261+H286+H303+H308</f>
        <v>2557401.6</v>
      </c>
      <c r="I212" s="20">
        <f t="shared" si="6"/>
        <v>19165915.220000003</v>
      </c>
      <c r="J212" s="19">
        <f>I212/$I$25</f>
        <v>0.19068688397980668</v>
      </c>
    </row>
    <row r="213" spans="1:10" x14ac:dyDescent="0.2">
      <c r="A213" s="23">
        <v>2</v>
      </c>
      <c r="B213" s="22">
        <v>3</v>
      </c>
      <c r="C213" s="22">
        <v>1</v>
      </c>
      <c r="D213" s="22"/>
      <c r="E213" s="22"/>
      <c r="F213" s="30" t="s">
        <v>216</v>
      </c>
      <c r="G213" s="20">
        <f>+G214+G217+G219+G223</f>
        <v>1657538.8</v>
      </c>
      <c r="H213" s="20">
        <f>+H214+H217+H219+H223</f>
        <v>355075</v>
      </c>
      <c r="I213" s="20">
        <f t="shared" si="6"/>
        <v>2012613.8</v>
      </c>
      <c r="J213" s="19"/>
    </row>
    <row r="214" spans="1:10" x14ac:dyDescent="0.2">
      <c r="A214" s="18">
        <v>2</v>
      </c>
      <c r="B214" s="15">
        <v>3</v>
      </c>
      <c r="C214" s="15">
        <v>1</v>
      </c>
      <c r="D214" s="15">
        <v>1</v>
      </c>
      <c r="E214" s="14"/>
      <c r="F214" s="16" t="s">
        <v>45</v>
      </c>
      <c r="G214" s="12">
        <f>SUM(G215:G216)</f>
        <v>1657538.8</v>
      </c>
      <c r="H214" s="12">
        <f>SUM(H215:H216)</f>
        <v>355075</v>
      </c>
      <c r="I214" s="12">
        <f t="shared" si="6"/>
        <v>2012613.8</v>
      </c>
      <c r="J214" s="11"/>
    </row>
    <row r="215" spans="1:10" x14ac:dyDescent="0.2">
      <c r="A215" s="17">
        <v>2</v>
      </c>
      <c r="B215" s="9">
        <v>3</v>
      </c>
      <c r="C215" s="9">
        <v>1</v>
      </c>
      <c r="D215" s="9">
        <v>1</v>
      </c>
      <c r="E215" s="24" t="s">
        <v>44</v>
      </c>
      <c r="F215" s="10" t="s">
        <v>45</v>
      </c>
      <c r="G215" s="7">
        <f>'CUENTA T FONDO 100'!DK126</f>
        <v>1657538.8</v>
      </c>
      <c r="H215" s="7">
        <f>'CUENTA T VS'!DK106</f>
        <v>355075</v>
      </c>
      <c r="I215" s="7">
        <f t="shared" si="6"/>
        <v>2012613.8</v>
      </c>
      <c r="J215" s="6">
        <f>I215/$I$25</f>
        <v>2.0024040061299916E-2</v>
      </c>
    </row>
    <row r="216" spans="1:10" x14ac:dyDescent="0.2">
      <c r="A216" s="17">
        <v>2</v>
      </c>
      <c r="B216" s="9">
        <v>3</v>
      </c>
      <c r="C216" s="9">
        <v>1</v>
      </c>
      <c r="D216" s="9">
        <v>1</v>
      </c>
      <c r="E216" s="24" t="s">
        <v>43</v>
      </c>
      <c r="F216" s="10" t="s">
        <v>215</v>
      </c>
      <c r="G216" s="7">
        <f>'CUENTA T FONDO 100'!DL126</f>
        <v>0</v>
      </c>
      <c r="H216" s="7">
        <f>'CUENTA T VS'!DL106</f>
        <v>0</v>
      </c>
      <c r="I216" s="7">
        <f t="shared" si="6"/>
        <v>0</v>
      </c>
      <c r="J216" s="6">
        <f>I216/$I$25</f>
        <v>0</v>
      </c>
    </row>
    <row r="217" spans="1:10" x14ac:dyDescent="0.2">
      <c r="A217" s="18">
        <v>2</v>
      </c>
      <c r="B217" s="15">
        <v>3</v>
      </c>
      <c r="C217" s="15">
        <v>1</v>
      </c>
      <c r="D217" s="15">
        <v>2</v>
      </c>
      <c r="E217" s="14"/>
      <c r="F217" s="16" t="s">
        <v>214</v>
      </c>
      <c r="G217" s="12">
        <f>SUM(G218)</f>
        <v>0</v>
      </c>
      <c r="H217" s="12">
        <f>SUM(H218)</f>
        <v>0</v>
      </c>
      <c r="I217" s="12">
        <f t="shared" ref="I217:I280" si="12">SUM(G217:H217)</f>
        <v>0</v>
      </c>
      <c r="J217" s="11"/>
    </row>
    <row r="218" spans="1:10" x14ac:dyDescent="0.2">
      <c r="A218" s="17">
        <v>2</v>
      </c>
      <c r="B218" s="9">
        <v>3</v>
      </c>
      <c r="C218" s="9">
        <v>1</v>
      </c>
      <c r="D218" s="9">
        <v>2</v>
      </c>
      <c r="E218" s="24" t="s">
        <v>44</v>
      </c>
      <c r="F218" s="10" t="s">
        <v>214</v>
      </c>
      <c r="G218" s="7">
        <f>'CUENTA T FONDO 100'!DM126</f>
        <v>0</v>
      </c>
      <c r="H218" s="7">
        <f>'CUENTA T VS'!DM106</f>
        <v>0</v>
      </c>
      <c r="I218" s="7">
        <f t="shared" si="12"/>
        <v>0</v>
      </c>
      <c r="J218" s="6">
        <f>I218/$I$25</f>
        <v>0</v>
      </c>
    </row>
    <row r="219" spans="1:10" x14ac:dyDescent="0.2">
      <c r="A219" s="18">
        <v>2</v>
      </c>
      <c r="B219" s="15">
        <v>3</v>
      </c>
      <c r="C219" s="15">
        <v>1</v>
      </c>
      <c r="D219" s="15">
        <v>3</v>
      </c>
      <c r="E219" s="15"/>
      <c r="F219" s="16" t="s">
        <v>213</v>
      </c>
      <c r="G219" s="12">
        <f>SUM(G220:G222)</f>
        <v>0</v>
      </c>
      <c r="H219" s="12">
        <f>SUM(H220:H222)</f>
        <v>0</v>
      </c>
      <c r="I219" s="12">
        <f t="shared" si="12"/>
        <v>0</v>
      </c>
      <c r="J219" s="11"/>
    </row>
    <row r="220" spans="1:10" x14ac:dyDescent="0.2">
      <c r="A220" s="17">
        <v>2</v>
      </c>
      <c r="B220" s="9">
        <v>3</v>
      </c>
      <c r="C220" s="9">
        <v>1</v>
      </c>
      <c r="D220" s="9">
        <v>3</v>
      </c>
      <c r="E220" s="24" t="s">
        <v>44</v>
      </c>
      <c r="F220" s="10" t="s">
        <v>212</v>
      </c>
      <c r="G220" s="7">
        <f>'CUENTA T FONDO 100'!DN126</f>
        <v>0</v>
      </c>
      <c r="H220" s="7">
        <f>'CUENTA T VS'!DN106</f>
        <v>0</v>
      </c>
      <c r="I220" s="7">
        <f t="shared" si="12"/>
        <v>0</v>
      </c>
      <c r="J220" s="6">
        <f>I220/$I$25</f>
        <v>0</v>
      </c>
    </row>
    <row r="221" spans="1:10" x14ac:dyDescent="0.2">
      <c r="A221" s="17">
        <v>2</v>
      </c>
      <c r="B221" s="9">
        <v>3</v>
      </c>
      <c r="C221" s="9">
        <v>1</v>
      </c>
      <c r="D221" s="9">
        <v>3</v>
      </c>
      <c r="E221" s="24" t="s">
        <v>43</v>
      </c>
      <c r="F221" s="10" t="s">
        <v>211</v>
      </c>
      <c r="G221" s="7">
        <f>'CUENTA T FONDO 100'!DO126</f>
        <v>0</v>
      </c>
      <c r="H221" s="7">
        <f>'CUENTA T VS'!DO106</f>
        <v>0</v>
      </c>
      <c r="I221" s="7">
        <f t="shared" si="12"/>
        <v>0</v>
      </c>
      <c r="J221" s="6">
        <f>I221/$I$25</f>
        <v>0</v>
      </c>
    </row>
    <row r="222" spans="1:10" x14ac:dyDescent="0.2">
      <c r="A222" s="17">
        <v>2</v>
      </c>
      <c r="B222" s="9">
        <v>3</v>
      </c>
      <c r="C222" s="9">
        <v>1</v>
      </c>
      <c r="D222" s="9">
        <v>3</v>
      </c>
      <c r="E222" s="24" t="s">
        <v>104</v>
      </c>
      <c r="F222" s="10" t="s">
        <v>210</v>
      </c>
      <c r="G222" s="7">
        <f>'CUENTA T FONDO 100'!DP126</f>
        <v>0</v>
      </c>
      <c r="H222" s="7">
        <f>'CUENTA T VS'!DP106</f>
        <v>0</v>
      </c>
      <c r="I222" s="7">
        <f t="shared" si="12"/>
        <v>0</v>
      </c>
      <c r="J222" s="6">
        <f>I222/$I$25</f>
        <v>0</v>
      </c>
    </row>
    <row r="223" spans="1:10" x14ac:dyDescent="0.2">
      <c r="A223" s="18">
        <v>2</v>
      </c>
      <c r="B223" s="15">
        <v>3</v>
      </c>
      <c r="C223" s="15">
        <v>1</v>
      </c>
      <c r="D223" s="15">
        <v>4</v>
      </c>
      <c r="E223" s="15"/>
      <c r="F223" s="16" t="s">
        <v>209</v>
      </c>
      <c r="G223" s="12">
        <f>SUM(G224)</f>
        <v>0</v>
      </c>
      <c r="H223" s="12">
        <f>SUM(H224)</f>
        <v>0</v>
      </c>
      <c r="I223" s="12">
        <f t="shared" si="12"/>
        <v>0</v>
      </c>
      <c r="J223" s="11"/>
    </row>
    <row r="224" spans="1:10" x14ac:dyDescent="0.2">
      <c r="A224" s="17">
        <v>2</v>
      </c>
      <c r="B224" s="9">
        <v>3</v>
      </c>
      <c r="C224" s="9">
        <v>1</v>
      </c>
      <c r="D224" s="9">
        <v>4</v>
      </c>
      <c r="E224" s="24" t="s">
        <v>44</v>
      </c>
      <c r="F224" s="10" t="s">
        <v>209</v>
      </c>
      <c r="G224" s="7">
        <f>'CUENTA T FONDO 100'!DQ126</f>
        <v>0</v>
      </c>
      <c r="H224" s="7">
        <f>'CUENTA T VS'!DQ106</f>
        <v>0</v>
      </c>
      <c r="I224" s="7">
        <f t="shared" si="12"/>
        <v>0</v>
      </c>
      <c r="J224" s="6">
        <f>I224/$I$25</f>
        <v>0</v>
      </c>
    </row>
    <row r="225" spans="1:10" x14ac:dyDescent="0.2">
      <c r="A225" s="23">
        <v>2</v>
      </c>
      <c r="B225" s="22">
        <v>3</v>
      </c>
      <c r="C225" s="22">
        <v>2</v>
      </c>
      <c r="D225" s="22"/>
      <c r="E225" s="29"/>
      <c r="F225" s="30" t="s">
        <v>208</v>
      </c>
      <c r="G225" s="20">
        <f>+G226+G228+G230</f>
        <v>0</v>
      </c>
      <c r="H225" s="20">
        <f>+H226+H228+H230</f>
        <v>141128</v>
      </c>
      <c r="I225" s="20">
        <f t="shared" si="12"/>
        <v>141128</v>
      </c>
      <c r="J225" s="19"/>
    </row>
    <row r="226" spans="1:10" x14ac:dyDescent="0.2">
      <c r="A226" s="18">
        <v>2</v>
      </c>
      <c r="B226" s="15">
        <v>3</v>
      </c>
      <c r="C226" s="15">
        <v>2</v>
      </c>
      <c r="D226" s="15">
        <v>1</v>
      </c>
      <c r="E226" s="15"/>
      <c r="F226" s="16" t="s">
        <v>42</v>
      </c>
      <c r="G226" s="12">
        <f>SUM(G227)</f>
        <v>0</v>
      </c>
      <c r="H226" s="12">
        <f>SUM(H227)</f>
        <v>141128</v>
      </c>
      <c r="I226" s="12">
        <f t="shared" si="12"/>
        <v>141128</v>
      </c>
      <c r="J226" s="11"/>
    </row>
    <row r="227" spans="1:10" x14ac:dyDescent="0.2">
      <c r="A227" s="17">
        <v>2</v>
      </c>
      <c r="B227" s="9">
        <v>3</v>
      </c>
      <c r="C227" s="9">
        <v>2</v>
      </c>
      <c r="D227" s="9">
        <v>1</v>
      </c>
      <c r="E227" s="24" t="s">
        <v>44</v>
      </c>
      <c r="F227" s="10" t="s">
        <v>42</v>
      </c>
      <c r="G227" s="7">
        <f>'CUENTA T FONDO 100'!DR126</f>
        <v>0</v>
      </c>
      <c r="H227" s="7">
        <f>'CUENTA T VS'!DR106</f>
        <v>141128</v>
      </c>
      <c r="I227" s="7">
        <f t="shared" si="12"/>
        <v>141128</v>
      </c>
      <c r="J227" s="6">
        <f>I227/$I$25</f>
        <v>1.4041207139547263E-3</v>
      </c>
    </row>
    <row r="228" spans="1:10" x14ac:dyDescent="0.2">
      <c r="A228" s="18">
        <v>2</v>
      </c>
      <c r="B228" s="15">
        <v>3</v>
      </c>
      <c r="C228" s="15">
        <v>2</v>
      </c>
      <c r="D228" s="15">
        <v>2</v>
      </c>
      <c r="E228" s="15"/>
      <c r="F228" s="16" t="s">
        <v>41</v>
      </c>
      <c r="G228" s="12">
        <f>SUM(G229)</f>
        <v>0</v>
      </c>
      <c r="H228" s="12">
        <f>SUM(H229)</f>
        <v>0</v>
      </c>
      <c r="I228" s="12">
        <f t="shared" si="12"/>
        <v>0</v>
      </c>
      <c r="J228" s="11"/>
    </row>
    <row r="229" spans="1:10" x14ac:dyDescent="0.2">
      <c r="A229" s="17">
        <v>2</v>
      </c>
      <c r="B229" s="9">
        <v>3</v>
      </c>
      <c r="C229" s="9">
        <v>2</v>
      </c>
      <c r="D229" s="9">
        <v>2</v>
      </c>
      <c r="E229" s="24" t="s">
        <v>44</v>
      </c>
      <c r="F229" s="10" t="s">
        <v>41</v>
      </c>
      <c r="G229" s="7">
        <f>'CUENTA T FONDO 100'!DS126</f>
        <v>0</v>
      </c>
      <c r="H229" s="7">
        <f>'CUENTA T VS'!DS106</f>
        <v>0</v>
      </c>
      <c r="I229" s="7">
        <f t="shared" si="12"/>
        <v>0</v>
      </c>
      <c r="J229" s="6">
        <f>I229/$I$25</f>
        <v>0</v>
      </c>
    </row>
    <row r="230" spans="1:10" x14ac:dyDescent="0.2">
      <c r="A230" s="18">
        <v>2</v>
      </c>
      <c r="B230" s="15">
        <v>3</v>
      </c>
      <c r="C230" s="15">
        <v>2</v>
      </c>
      <c r="D230" s="15">
        <v>3</v>
      </c>
      <c r="E230" s="15"/>
      <c r="F230" s="16" t="s">
        <v>40</v>
      </c>
      <c r="G230" s="12">
        <f>SUM(G231)</f>
        <v>0</v>
      </c>
      <c r="H230" s="12">
        <f>SUM(H231)</f>
        <v>0</v>
      </c>
      <c r="I230" s="12">
        <f t="shared" si="12"/>
        <v>0</v>
      </c>
      <c r="J230" s="11"/>
    </row>
    <row r="231" spans="1:10" x14ac:dyDescent="0.2">
      <c r="A231" s="17">
        <v>2</v>
      </c>
      <c r="B231" s="9">
        <v>3</v>
      </c>
      <c r="C231" s="9">
        <v>2</v>
      </c>
      <c r="D231" s="9">
        <v>3</v>
      </c>
      <c r="E231" s="24" t="s">
        <v>44</v>
      </c>
      <c r="F231" s="10" t="s">
        <v>40</v>
      </c>
      <c r="G231" s="7">
        <f>'CUENTA T FONDO 100'!DT126</f>
        <v>0</v>
      </c>
      <c r="H231" s="7">
        <f>'CUENTA T VS'!DT106</f>
        <v>0</v>
      </c>
      <c r="I231" s="7">
        <f t="shared" si="12"/>
        <v>0</v>
      </c>
      <c r="J231" s="6">
        <f>I231/$I$25</f>
        <v>0</v>
      </c>
    </row>
    <row r="232" spans="1:10" x14ac:dyDescent="0.2">
      <c r="A232" s="23">
        <v>2</v>
      </c>
      <c r="B232" s="22">
        <v>3</v>
      </c>
      <c r="C232" s="22">
        <v>3</v>
      </c>
      <c r="D232" s="22"/>
      <c r="E232" s="29"/>
      <c r="F232" s="30" t="s">
        <v>207</v>
      </c>
      <c r="G232" s="20">
        <f>+G233+G235+G237+G239+G241+G243</f>
        <v>765138.96</v>
      </c>
      <c r="H232" s="20">
        <f>+H233+H235+H237+H239+H241+H243</f>
        <v>607165</v>
      </c>
      <c r="I232" s="20">
        <f t="shared" si="12"/>
        <v>1372303.96</v>
      </c>
      <c r="J232" s="19"/>
    </row>
    <row r="233" spans="1:10" x14ac:dyDescent="0.2">
      <c r="A233" s="18">
        <v>2</v>
      </c>
      <c r="B233" s="15">
        <v>3</v>
      </c>
      <c r="C233" s="15">
        <v>3</v>
      </c>
      <c r="D233" s="15">
        <v>1</v>
      </c>
      <c r="E233" s="15"/>
      <c r="F233" s="16" t="s">
        <v>39</v>
      </c>
      <c r="G233" s="12">
        <f>SUM(G234)</f>
        <v>9487.2000000000007</v>
      </c>
      <c r="H233" s="12">
        <f>SUM(H234)</f>
        <v>0</v>
      </c>
      <c r="I233" s="12">
        <f t="shared" si="12"/>
        <v>9487.2000000000007</v>
      </c>
      <c r="J233" s="11"/>
    </row>
    <row r="234" spans="1:10" x14ac:dyDescent="0.2">
      <c r="A234" s="17">
        <v>2</v>
      </c>
      <c r="B234" s="9">
        <v>3</v>
      </c>
      <c r="C234" s="9">
        <v>3</v>
      </c>
      <c r="D234" s="9">
        <v>1</v>
      </c>
      <c r="E234" s="24" t="s">
        <v>44</v>
      </c>
      <c r="F234" s="10" t="s">
        <v>39</v>
      </c>
      <c r="G234" s="7">
        <f>'CUENTA T FONDO 100'!DU126</f>
        <v>9487.2000000000007</v>
      </c>
      <c r="H234" s="7">
        <f>'CUENTA T VS'!DU106</f>
        <v>0</v>
      </c>
      <c r="I234" s="7">
        <f t="shared" si="12"/>
        <v>9487.2000000000007</v>
      </c>
      <c r="J234" s="6">
        <f>I234/$I$25</f>
        <v>9.439072358023411E-5</v>
      </c>
    </row>
    <row r="235" spans="1:10" x14ac:dyDescent="0.2">
      <c r="A235" s="18">
        <v>2</v>
      </c>
      <c r="B235" s="15">
        <v>3</v>
      </c>
      <c r="C235" s="15">
        <v>3</v>
      </c>
      <c r="D235" s="15">
        <v>2</v>
      </c>
      <c r="E235" s="15"/>
      <c r="F235" s="16" t="s">
        <v>401</v>
      </c>
      <c r="G235" s="12">
        <f>SUM(G236)</f>
        <v>217335.76</v>
      </c>
      <c r="H235" s="12">
        <f>SUM(H236)</f>
        <v>498900</v>
      </c>
      <c r="I235" s="12">
        <f t="shared" si="12"/>
        <v>716235.76</v>
      </c>
      <c r="J235" s="11"/>
    </row>
    <row r="236" spans="1:10" x14ac:dyDescent="0.2">
      <c r="A236" s="17">
        <v>2</v>
      </c>
      <c r="B236" s="9">
        <v>3</v>
      </c>
      <c r="C236" s="9">
        <v>3</v>
      </c>
      <c r="D236" s="9">
        <v>2</v>
      </c>
      <c r="E236" s="24" t="s">
        <v>44</v>
      </c>
      <c r="F236" s="10" t="s">
        <v>401</v>
      </c>
      <c r="G236" s="7">
        <f>'CUENTA T FONDO 100'!DV126</f>
        <v>217335.76</v>
      </c>
      <c r="H236" s="7">
        <f>'CUENTA T VS'!DV106</f>
        <v>498900</v>
      </c>
      <c r="I236" s="7">
        <f t="shared" si="12"/>
        <v>716235.76</v>
      </c>
      <c r="J236" s="6">
        <f>I236/$I$25</f>
        <v>7.1260236571843005E-3</v>
      </c>
    </row>
    <row r="237" spans="1:10" x14ac:dyDescent="0.2">
      <c r="A237" s="18">
        <v>2</v>
      </c>
      <c r="B237" s="15">
        <v>3</v>
      </c>
      <c r="C237" s="15">
        <v>3</v>
      </c>
      <c r="D237" s="15">
        <v>3</v>
      </c>
      <c r="E237" s="15"/>
      <c r="F237" s="16" t="s">
        <v>38</v>
      </c>
      <c r="G237" s="12">
        <f>SUM(G238)</f>
        <v>538316</v>
      </c>
      <c r="H237" s="12">
        <f>SUM(H238)</f>
        <v>108265</v>
      </c>
      <c r="I237" s="12">
        <f t="shared" si="12"/>
        <v>646581</v>
      </c>
      <c r="J237" s="11"/>
    </row>
    <row r="238" spans="1:10" x14ac:dyDescent="0.2">
      <c r="A238" s="17">
        <v>2</v>
      </c>
      <c r="B238" s="9">
        <v>3</v>
      </c>
      <c r="C238" s="9">
        <v>3</v>
      </c>
      <c r="D238" s="9">
        <v>3</v>
      </c>
      <c r="E238" s="24" t="s">
        <v>44</v>
      </c>
      <c r="F238" s="10" t="s">
        <v>38</v>
      </c>
      <c r="G238" s="7">
        <f>'CUENTA T FONDO 100'!DW126</f>
        <v>538316</v>
      </c>
      <c r="H238" s="7">
        <f>'CUENTA T VS'!DW106</f>
        <v>108265</v>
      </c>
      <c r="I238" s="7">
        <f t="shared" si="12"/>
        <v>646581</v>
      </c>
      <c r="J238" s="6">
        <f>I238/$I$25</f>
        <v>6.4330095753469254E-3</v>
      </c>
    </row>
    <row r="239" spans="1:10" x14ac:dyDescent="0.2">
      <c r="A239" s="18">
        <v>2</v>
      </c>
      <c r="B239" s="15">
        <v>3</v>
      </c>
      <c r="C239" s="15">
        <v>3</v>
      </c>
      <c r="D239" s="15">
        <v>4</v>
      </c>
      <c r="E239" s="15"/>
      <c r="F239" s="16" t="s">
        <v>37</v>
      </c>
      <c r="G239" s="12">
        <f>SUM(G240)</f>
        <v>0</v>
      </c>
      <c r="H239" s="12">
        <f>SUM(H240)</f>
        <v>0</v>
      </c>
      <c r="I239" s="12">
        <f t="shared" si="12"/>
        <v>0</v>
      </c>
      <c r="J239" s="11"/>
    </row>
    <row r="240" spans="1:10" x14ac:dyDescent="0.2">
      <c r="A240" s="17">
        <v>2</v>
      </c>
      <c r="B240" s="9">
        <v>3</v>
      </c>
      <c r="C240" s="9">
        <v>3</v>
      </c>
      <c r="D240" s="9">
        <v>4</v>
      </c>
      <c r="E240" s="24" t="s">
        <v>44</v>
      </c>
      <c r="F240" s="10" t="s">
        <v>37</v>
      </c>
      <c r="G240" s="7">
        <f>'CUENTA T FONDO 100'!DX126</f>
        <v>0</v>
      </c>
      <c r="H240" s="7">
        <f>'CUENTA T VS'!DX106</f>
        <v>0</v>
      </c>
      <c r="I240" s="7">
        <f t="shared" si="12"/>
        <v>0</v>
      </c>
      <c r="J240" s="6">
        <f>I240/$I$25</f>
        <v>0</v>
      </c>
    </row>
    <row r="241" spans="1:10" x14ac:dyDescent="0.2">
      <c r="A241" s="18">
        <v>2</v>
      </c>
      <c r="B241" s="15">
        <v>3</v>
      </c>
      <c r="C241" s="15">
        <v>3</v>
      </c>
      <c r="D241" s="15">
        <v>5</v>
      </c>
      <c r="E241" s="15"/>
      <c r="F241" s="16" t="s">
        <v>206</v>
      </c>
      <c r="G241" s="12">
        <f>SUM(G242)</f>
        <v>0</v>
      </c>
      <c r="H241" s="12">
        <f>SUM(H242)</f>
        <v>0</v>
      </c>
      <c r="I241" s="12">
        <f t="shared" si="12"/>
        <v>0</v>
      </c>
      <c r="J241" s="11"/>
    </row>
    <row r="242" spans="1:10" x14ac:dyDescent="0.2">
      <c r="A242" s="17">
        <v>2</v>
      </c>
      <c r="B242" s="9">
        <v>3</v>
      </c>
      <c r="C242" s="9">
        <v>3</v>
      </c>
      <c r="D242" s="9">
        <v>5</v>
      </c>
      <c r="E242" s="24" t="s">
        <v>44</v>
      </c>
      <c r="F242" s="10" t="s">
        <v>206</v>
      </c>
      <c r="G242" s="7">
        <f>'CUENTA T FONDO 100'!DY126</f>
        <v>0</v>
      </c>
      <c r="H242" s="7">
        <f>'CUENTA T VS'!DY106</f>
        <v>0</v>
      </c>
      <c r="I242" s="7">
        <f t="shared" si="12"/>
        <v>0</v>
      </c>
      <c r="J242" s="6">
        <f>I242/$I$25</f>
        <v>0</v>
      </c>
    </row>
    <row r="243" spans="1:10" x14ac:dyDescent="0.2">
      <c r="A243" s="18">
        <v>2</v>
      </c>
      <c r="B243" s="15">
        <v>3</v>
      </c>
      <c r="C243" s="15">
        <v>3</v>
      </c>
      <c r="D243" s="15">
        <v>6</v>
      </c>
      <c r="E243" s="15"/>
      <c r="F243" s="16" t="s">
        <v>205</v>
      </c>
      <c r="G243" s="12">
        <f>SUM(G244)</f>
        <v>0</v>
      </c>
      <c r="H243" s="12">
        <f>SUM(H244)</f>
        <v>0</v>
      </c>
      <c r="I243" s="12">
        <f t="shared" si="12"/>
        <v>0</v>
      </c>
      <c r="J243" s="11"/>
    </row>
    <row r="244" spans="1:10" x14ac:dyDescent="0.2">
      <c r="A244" s="17">
        <v>2</v>
      </c>
      <c r="B244" s="9">
        <v>3</v>
      </c>
      <c r="C244" s="9">
        <v>3</v>
      </c>
      <c r="D244" s="9">
        <v>6</v>
      </c>
      <c r="E244" s="24" t="s">
        <v>44</v>
      </c>
      <c r="F244" s="10" t="s">
        <v>205</v>
      </c>
      <c r="G244" s="7">
        <f>'CUENTA T FONDO 100'!DZ126</f>
        <v>0</v>
      </c>
      <c r="H244" s="7">
        <f>'CUENTA T VS'!DZ106</f>
        <v>0</v>
      </c>
      <c r="I244" s="7">
        <f t="shared" si="12"/>
        <v>0</v>
      </c>
      <c r="J244" s="6">
        <f>I244/$I$25</f>
        <v>0</v>
      </c>
    </row>
    <row r="245" spans="1:10" x14ac:dyDescent="0.2">
      <c r="A245" s="23">
        <v>2</v>
      </c>
      <c r="B245" s="22">
        <v>3</v>
      </c>
      <c r="C245" s="22">
        <v>4</v>
      </c>
      <c r="D245" s="22"/>
      <c r="E245" s="29"/>
      <c r="F245" s="30" t="s">
        <v>204</v>
      </c>
      <c r="G245" s="20">
        <f>+G246+G248</f>
        <v>2637285.6</v>
      </c>
      <c r="H245" s="20">
        <f>+H246+H248</f>
        <v>130100</v>
      </c>
      <c r="I245" s="20">
        <f t="shared" si="12"/>
        <v>2767385.6</v>
      </c>
      <c r="J245" s="19"/>
    </row>
    <row r="246" spans="1:10" x14ac:dyDescent="0.2">
      <c r="A246" s="18">
        <v>2</v>
      </c>
      <c r="B246" s="15">
        <v>3</v>
      </c>
      <c r="C246" s="15">
        <v>4</v>
      </c>
      <c r="D246" s="15">
        <v>1</v>
      </c>
      <c r="E246" s="15"/>
      <c r="F246" s="16" t="s">
        <v>36</v>
      </c>
      <c r="G246" s="12">
        <f>SUM(G247)</f>
        <v>2637285.6</v>
      </c>
      <c r="H246" s="12">
        <f>SUM(H247)</f>
        <v>130100</v>
      </c>
      <c r="I246" s="12">
        <f t="shared" si="12"/>
        <v>2767385.6</v>
      </c>
      <c r="J246" s="11"/>
    </row>
    <row r="247" spans="1:10" x14ac:dyDescent="0.2">
      <c r="A247" s="17">
        <v>2</v>
      </c>
      <c r="B247" s="9">
        <v>3</v>
      </c>
      <c r="C247" s="9">
        <v>4</v>
      </c>
      <c r="D247" s="9">
        <v>1</v>
      </c>
      <c r="E247" s="24" t="s">
        <v>44</v>
      </c>
      <c r="F247" s="10" t="s">
        <v>36</v>
      </c>
      <c r="G247" s="7">
        <f>'CUENTA T FONDO 100'!EA126</f>
        <v>2637285.6</v>
      </c>
      <c r="H247" s="7">
        <f>'CUENTA T VS'!EA106</f>
        <v>130100</v>
      </c>
      <c r="I247" s="7">
        <f t="shared" si="12"/>
        <v>2767385.6</v>
      </c>
      <c r="J247" s="6">
        <f>I247/$I$25</f>
        <v>2.7533469222691658E-2</v>
      </c>
    </row>
    <row r="248" spans="1:10" x14ac:dyDescent="0.2">
      <c r="A248" s="18">
        <v>2</v>
      </c>
      <c r="B248" s="15">
        <v>3</v>
      </c>
      <c r="C248" s="15">
        <v>4</v>
      </c>
      <c r="D248" s="15">
        <v>2</v>
      </c>
      <c r="E248" s="15"/>
      <c r="F248" s="16" t="s">
        <v>203</v>
      </c>
      <c r="G248" s="12">
        <f>SUM(G249)</f>
        <v>0</v>
      </c>
      <c r="H248" s="12">
        <f>SUM(H249)</f>
        <v>0</v>
      </c>
      <c r="I248" s="12">
        <f t="shared" si="12"/>
        <v>0</v>
      </c>
      <c r="J248" s="11"/>
    </row>
    <row r="249" spans="1:10" x14ac:dyDescent="0.2">
      <c r="A249" s="17">
        <v>2</v>
      </c>
      <c r="B249" s="9">
        <v>3</v>
      </c>
      <c r="C249" s="9">
        <v>4</v>
      </c>
      <c r="D249" s="9">
        <v>2</v>
      </c>
      <c r="E249" s="24" t="s">
        <v>44</v>
      </c>
      <c r="F249" s="10" t="s">
        <v>203</v>
      </c>
      <c r="G249" s="7">
        <f>'CUENTA T FONDO 100'!EB126</f>
        <v>0</v>
      </c>
      <c r="H249" s="7">
        <f>'CUENTA T VS'!EB106</f>
        <v>0</v>
      </c>
      <c r="I249" s="7">
        <f t="shared" si="12"/>
        <v>0</v>
      </c>
      <c r="J249" s="6">
        <f>I249/$I$25</f>
        <v>0</v>
      </c>
    </row>
    <row r="250" spans="1:10" x14ac:dyDescent="0.2">
      <c r="A250" s="23">
        <v>2</v>
      </c>
      <c r="B250" s="22">
        <v>3</v>
      </c>
      <c r="C250" s="22">
        <v>5</v>
      </c>
      <c r="D250" s="22"/>
      <c r="E250" s="29"/>
      <c r="F250" s="30" t="s">
        <v>202</v>
      </c>
      <c r="G250" s="20">
        <f>+G251+G253+G255+G257+G259</f>
        <v>384413.08</v>
      </c>
      <c r="H250" s="20">
        <f>+H251+H253+H255+H257+H259</f>
        <v>0</v>
      </c>
      <c r="I250" s="20">
        <f t="shared" si="12"/>
        <v>384413.08</v>
      </c>
      <c r="J250" s="19"/>
    </row>
    <row r="251" spans="1:10" x14ac:dyDescent="0.2">
      <c r="A251" s="18">
        <v>2</v>
      </c>
      <c r="B251" s="15">
        <v>3</v>
      </c>
      <c r="C251" s="15">
        <v>5</v>
      </c>
      <c r="D251" s="15">
        <v>1</v>
      </c>
      <c r="E251" s="15"/>
      <c r="F251" s="16" t="s">
        <v>35</v>
      </c>
      <c r="G251" s="12">
        <f>SUM(G252)</f>
        <v>0</v>
      </c>
      <c r="H251" s="12">
        <f>SUM(H252)</f>
        <v>0</v>
      </c>
      <c r="I251" s="12">
        <f t="shared" si="12"/>
        <v>0</v>
      </c>
      <c r="J251" s="11"/>
    </row>
    <row r="252" spans="1:10" x14ac:dyDescent="0.2">
      <c r="A252" s="17">
        <v>2</v>
      </c>
      <c r="B252" s="9">
        <v>3</v>
      </c>
      <c r="C252" s="9">
        <v>5</v>
      </c>
      <c r="D252" s="9">
        <v>1</v>
      </c>
      <c r="E252" s="24" t="s">
        <v>44</v>
      </c>
      <c r="F252" s="10" t="s">
        <v>35</v>
      </c>
      <c r="G252" s="7">
        <f>'CUENTA T FONDO 100'!EC126</f>
        <v>0</v>
      </c>
      <c r="H252" s="7">
        <f>'CUENTA T VS'!EC106</f>
        <v>0</v>
      </c>
      <c r="I252" s="7">
        <f t="shared" si="12"/>
        <v>0</v>
      </c>
      <c r="J252" s="6">
        <f>I252/$I$25</f>
        <v>0</v>
      </c>
    </row>
    <row r="253" spans="1:10" x14ac:dyDescent="0.2">
      <c r="A253" s="18">
        <v>2</v>
      </c>
      <c r="B253" s="15">
        <v>3</v>
      </c>
      <c r="C253" s="15">
        <v>5</v>
      </c>
      <c r="D253" s="15">
        <v>2</v>
      </c>
      <c r="E253" s="15"/>
      <c r="F253" s="16" t="s">
        <v>34</v>
      </c>
      <c r="G253" s="12">
        <f>SUM(G254)</f>
        <v>0</v>
      </c>
      <c r="H253" s="12">
        <f>SUM(H254)</f>
        <v>0</v>
      </c>
      <c r="I253" s="12">
        <f t="shared" si="12"/>
        <v>0</v>
      </c>
      <c r="J253" s="11"/>
    </row>
    <row r="254" spans="1:10" x14ac:dyDescent="0.2">
      <c r="A254" s="17">
        <v>2</v>
      </c>
      <c r="B254" s="9">
        <v>3</v>
      </c>
      <c r="C254" s="9">
        <v>5</v>
      </c>
      <c r="D254" s="9">
        <v>2</v>
      </c>
      <c r="E254" s="24" t="s">
        <v>44</v>
      </c>
      <c r="F254" s="10" t="s">
        <v>34</v>
      </c>
      <c r="G254" s="7">
        <f>'CUENTA T FONDO 100'!ED126</f>
        <v>0</v>
      </c>
      <c r="H254" s="7">
        <f>'CUENTA T VS'!ED106</f>
        <v>0</v>
      </c>
      <c r="I254" s="7">
        <f t="shared" si="12"/>
        <v>0</v>
      </c>
      <c r="J254" s="6">
        <f>I254/$I$25</f>
        <v>0</v>
      </c>
    </row>
    <row r="255" spans="1:10" x14ac:dyDescent="0.2">
      <c r="A255" s="18">
        <v>2</v>
      </c>
      <c r="B255" s="15">
        <v>3</v>
      </c>
      <c r="C255" s="15">
        <v>5</v>
      </c>
      <c r="D255" s="15">
        <v>3</v>
      </c>
      <c r="E255" s="15"/>
      <c r="F255" s="16" t="s">
        <v>33</v>
      </c>
      <c r="G255" s="12">
        <f>SUM(G256)</f>
        <v>0</v>
      </c>
      <c r="H255" s="12">
        <f>SUM(H256)</f>
        <v>0</v>
      </c>
      <c r="I255" s="12">
        <f t="shared" si="12"/>
        <v>0</v>
      </c>
      <c r="J255" s="11"/>
    </row>
    <row r="256" spans="1:10" x14ac:dyDescent="0.2">
      <c r="A256" s="17">
        <v>2</v>
      </c>
      <c r="B256" s="9">
        <v>3</v>
      </c>
      <c r="C256" s="9">
        <v>5</v>
      </c>
      <c r="D256" s="9">
        <v>3</v>
      </c>
      <c r="E256" s="24" t="s">
        <v>44</v>
      </c>
      <c r="F256" s="10" t="s">
        <v>33</v>
      </c>
      <c r="G256" s="7">
        <f>'CUENTA T FONDO 100'!EE126</f>
        <v>0</v>
      </c>
      <c r="H256" s="7">
        <f>'CUENTA T VS'!EE106</f>
        <v>0</v>
      </c>
      <c r="I256" s="7">
        <f t="shared" si="12"/>
        <v>0</v>
      </c>
      <c r="J256" s="6">
        <f>I256/$I$25</f>
        <v>0</v>
      </c>
    </row>
    <row r="257" spans="1:10" x14ac:dyDescent="0.2">
      <c r="A257" s="18">
        <v>2</v>
      </c>
      <c r="B257" s="15">
        <v>3</v>
      </c>
      <c r="C257" s="15">
        <v>5</v>
      </c>
      <c r="D257" s="15">
        <v>4</v>
      </c>
      <c r="E257" s="15"/>
      <c r="F257" s="16" t="s">
        <v>32</v>
      </c>
      <c r="G257" s="12">
        <f>SUM(G258)</f>
        <v>0</v>
      </c>
      <c r="H257" s="12">
        <f>SUM(H258)</f>
        <v>0</v>
      </c>
      <c r="I257" s="12">
        <f t="shared" si="12"/>
        <v>0</v>
      </c>
      <c r="J257" s="11"/>
    </row>
    <row r="258" spans="1:10" x14ac:dyDescent="0.2">
      <c r="A258" s="17">
        <v>2</v>
      </c>
      <c r="B258" s="9">
        <v>3</v>
      </c>
      <c r="C258" s="9">
        <v>5</v>
      </c>
      <c r="D258" s="9">
        <v>4</v>
      </c>
      <c r="E258" s="24" t="s">
        <v>44</v>
      </c>
      <c r="F258" s="10" t="s">
        <v>32</v>
      </c>
      <c r="G258" s="7">
        <f>'CUENTA T FONDO 100'!EF126</f>
        <v>0</v>
      </c>
      <c r="H258" s="7">
        <f>'CUENTA T VS'!EF106</f>
        <v>0</v>
      </c>
      <c r="I258" s="7">
        <f t="shared" si="12"/>
        <v>0</v>
      </c>
      <c r="J258" s="6">
        <f>I258/$I$25</f>
        <v>0</v>
      </c>
    </row>
    <row r="259" spans="1:10" x14ac:dyDescent="0.2">
      <c r="A259" s="18">
        <v>2</v>
      </c>
      <c r="B259" s="15">
        <v>3</v>
      </c>
      <c r="C259" s="15">
        <v>5</v>
      </c>
      <c r="D259" s="15">
        <v>5</v>
      </c>
      <c r="E259" s="15"/>
      <c r="F259" s="16" t="s">
        <v>31</v>
      </c>
      <c r="G259" s="12">
        <f>SUM(G260)</f>
        <v>384413.08</v>
      </c>
      <c r="H259" s="12">
        <f>SUM(H260)</f>
        <v>0</v>
      </c>
      <c r="I259" s="12">
        <f t="shared" si="12"/>
        <v>384413.08</v>
      </c>
      <c r="J259" s="11"/>
    </row>
    <row r="260" spans="1:10" x14ac:dyDescent="0.2">
      <c r="A260" s="17">
        <v>2</v>
      </c>
      <c r="B260" s="9">
        <v>3</v>
      </c>
      <c r="C260" s="9">
        <v>5</v>
      </c>
      <c r="D260" s="9">
        <v>5</v>
      </c>
      <c r="E260" s="24" t="s">
        <v>44</v>
      </c>
      <c r="F260" s="10" t="s">
        <v>31</v>
      </c>
      <c r="G260" s="7">
        <f>'CUENTA T FONDO 100'!EG126</f>
        <v>384413.08</v>
      </c>
      <c r="H260" s="7">
        <f>'CUENTA T VS'!EG106</f>
        <v>0</v>
      </c>
      <c r="I260" s="7">
        <f t="shared" si="12"/>
        <v>384413.08</v>
      </c>
      <c r="J260" s="6">
        <f>I260/$I$25</f>
        <v>3.8246298986957606E-3</v>
      </c>
    </row>
    <row r="261" spans="1:10" x14ac:dyDescent="0.2">
      <c r="A261" s="23">
        <v>2</v>
      </c>
      <c r="B261" s="22">
        <v>3</v>
      </c>
      <c r="C261" s="22">
        <v>6</v>
      </c>
      <c r="D261" s="22"/>
      <c r="E261" s="22"/>
      <c r="F261" s="30" t="s">
        <v>201</v>
      </c>
      <c r="G261" s="20">
        <f>+G262+G268+G272+G276+G284</f>
        <v>215177.81</v>
      </c>
      <c r="H261" s="20">
        <f>+H262+H268+H272+H276+H284</f>
        <v>0</v>
      </c>
      <c r="I261" s="20">
        <f t="shared" si="12"/>
        <v>215177.81</v>
      </c>
      <c r="J261" s="19"/>
    </row>
    <row r="262" spans="1:10" x14ac:dyDescent="0.2">
      <c r="A262" s="18">
        <v>2</v>
      </c>
      <c r="B262" s="15">
        <v>3</v>
      </c>
      <c r="C262" s="15">
        <v>6</v>
      </c>
      <c r="D262" s="15">
        <v>1</v>
      </c>
      <c r="E262" s="15"/>
      <c r="F262" s="16" t="s">
        <v>200</v>
      </c>
      <c r="G262" s="12">
        <f>SUM(G263:G267)</f>
        <v>0</v>
      </c>
      <c r="H262" s="12">
        <f>SUM(H263:H267)</f>
        <v>0</v>
      </c>
      <c r="I262" s="12">
        <f t="shared" si="12"/>
        <v>0</v>
      </c>
      <c r="J262" s="11"/>
    </row>
    <row r="263" spans="1:10" x14ac:dyDescent="0.2">
      <c r="A263" s="17">
        <v>2</v>
      </c>
      <c r="B263" s="9">
        <v>3</v>
      </c>
      <c r="C263" s="9">
        <v>6</v>
      </c>
      <c r="D263" s="9">
        <v>1</v>
      </c>
      <c r="E263" s="24" t="s">
        <v>44</v>
      </c>
      <c r="F263" s="10" t="s">
        <v>30</v>
      </c>
      <c r="G263" s="7">
        <f>'CUENTA T FONDO 100'!EH126</f>
        <v>0</v>
      </c>
      <c r="H263" s="7">
        <f>'CUENTA T VS'!EH106</f>
        <v>0</v>
      </c>
      <c r="I263" s="7">
        <f t="shared" si="12"/>
        <v>0</v>
      </c>
      <c r="J263" s="6">
        <f>I263/$I$25</f>
        <v>0</v>
      </c>
    </row>
    <row r="264" spans="1:10" x14ac:dyDescent="0.2">
      <c r="A264" s="17">
        <v>2</v>
      </c>
      <c r="B264" s="9">
        <v>3</v>
      </c>
      <c r="C264" s="9">
        <v>6</v>
      </c>
      <c r="D264" s="9">
        <v>1</v>
      </c>
      <c r="E264" s="24" t="s">
        <v>43</v>
      </c>
      <c r="F264" s="10" t="s">
        <v>29</v>
      </c>
      <c r="G264" s="7">
        <f>'CUENTA T FONDO 100'!EI126</f>
        <v>0</v>
      </c>
      <c r="H264" s="7">
        <f>'CUENTA T VS'!EI106</f>
        <v>0</v>
      </c>
      <c r="I264" s="7">
        <f t="shared" si="12"/>
        <v>0</v>
      </c>
      <c r="J264" s="6">
        <f>I264/$I$25</f>
        <v>0</v>
      </c>
    </row>
    <row r="265" spans="1:10" x14ac:dyDescent="0.2">
      <c r="A265" s="17">
        <v>2</v>
      </c>
      <c r="B265" s="9">
        <v>3</v>
      </c>
      <c r="C265" s="9">
        <v>6</v>
      </c>
      <c r="D265" s="9">
        <v>1</v>
      </c>
      <c r="E265" s="24" t="s">
        <v>104</v>
      </c>
      <c r="F265" s="10" t="s">
        <v>28</v>
      </c>
      <c r="G265" s="7">
        <f>'CUENTA T FONDO 100'!EJ126</f>
        <v>0</v>
      </c>
      <c r="H265" s="7">
        <f>'CUENTA T VS'!EJ106</f>
        <v>0</v>
      </c>
      <c r="I265" s="7">
        <f t="shared" si="12"/>
        <v>0</v>
      </c>
      <c r="J265" s="6">
        <f>I265/$I$25</f>
        <v>0</v>
      </c>
    </row>
    <row r="266" spans="1:10" x14ac:dyDescent="0.2">
      <c r="A266" s="17">
        <v>2</v>
      </c>
      <c r="B266" s="9">
        <v>3</v>
      </c>
      <c r="C266" s="9">
        <v>6</v>
      </c>
      <c r="D266" s="9">
        <v>1</v>
      </c>
      <c r="E266" s="24" t="s">
        <v>172</v>
      </c>
      <c r="F266" s="10" t="s">
        <v>27</v>
      </c>
      <c r="G266" s="7">
        <f>'CUENTA T FONDO 100'!EK126</f>
        <v>0</v>
      </c>
      <c r="H266" s="7">
        <f>'CUENTA T VS'!EK106</f>
        <v>0</v>
      </c>
      <c r="I266" s="7">
        <f t="shared" si="12"/>
        <v>0</v>
      </c>
      <c r="J266" s="6">
        <f>I266/$I$25</f>
        <v>0</v>
      </c>
    </row>
    <row r="267" spans="1:10" x14ac:dyDescent="0.2">
      <c r="A267" s="17">
        <v>2</v>
      </c>
      <c r="B267" s="9">
        <v>3</v>
      </c>
      <c r="C267" s="9">
        <v>6</v>
      </c>
      <c r="D267" s="9">
        <v>1</v>
      </c>
      <c r="E267" s="24" t="s">
        <v>170</v>
      </c>
      <c r="F267" s="10" t="s">
        <v>26</v>
      </c>
      <c r="G267" s="7">
        <f>'CUENTA T FONDO 100'!EL126</f>
        <v>0</v>
      </c>
      <c r="H267" s="7">
        <f>'CUENTA T VS'!EL106</f>
        <v>0</v>
      </c>
      <c r="I267" s="7">
        <f t="shared" si="12"/>
        <v>0</v>
      </c>
      <c r="J267" s="6">
        <f>I267/$I$25</f>
        <v>0</v>
      </c>
    </row>
    <row r="268" spans="1:10" x14ac:dyDescent="0.2">
      <c r="A268" s="18">
        <v>2</v>
      </c>
      <c r="B268" s="15">
        <v>3</v>
      </c>
      <c r="C268" s="15">
        <v>6</v>
      </c>
      <c r="D268" s="15">
        <v>2</v>
      </c>
      <c r="E268" s="15"/>
      <c r="F268" s="16" t="s">
        <v>25</v>
      </c>
      <c r="G268" s="12">
        <f>SUM(G269:G271)</f>
        <v>0</v>
      </c>
      <c r="H268" s="12">
        <f>SUM(H269:H271)</f>
        <v>0</v>
      </c>
      <c r="I268" s="12">
        <f t="shared" si="12"/>
        <v>0</v>
      </c>
      <c r="J268" s="11"/>
    </row>
    <row r="269" spans="1:10" x14ac:dyDescent="0.2">
      <c r="A269" s="17">
        <v>2</v>
      </c>
      <c r="B269" s="9">
        <v>3</v>
      </c>
      <c r="C269" s="9">
        <v>6</v>
      </c>
      <c r="D269" s="9">
        <v>2</v>
      </c>
      <c r="E269" s="24" t="s">
        <v>44</v>
      </c>
      <c r="F269" s="10" t="s">
        <v>24</v>
      </c>
      <c r="G269" s="7">
        <f>'CUENTA T FONDO 100'!EM126</f>
        <v>0</v>
      </c>
      <c r="H269" s="7">
        <f>'CUENTA T VS'!EM106</f>
        <v>0</v>
      </c>
      <c r="I269" s="7">
        <f t="shared" si="12"/>
        <v>0</v>
      </c>
      <c r="J269" s="6">
        <f>I269/$I$25</f>
        <v>0</v>
      </c>
    </row>
    <row r="270" spans="1:10" x14ac:dyDescent="0.2">
      <c r="A270" s="17">
        <v>2</v>
      </c>
      <c r="B270" s="9">
        <v>3</v>
      </c>
      <c r="C270" s="9">
        <v>6</v>
      </c>
      <c r="D270" s="9">
        <v>2</v>
      </c>
      <c r="E270" s="24" t="s">
        <v>43</v>
      </c>
      <c r="F270" s="10" t="s">
        <v>23</v>
      </c>
      <c r="G270" s="7">
        <f>'CUENTA T FONDO 100'!EN126</f>
        <v>0</v>
      </c>
      <c r="H270" s="7">
        <f>'CUENTA T VS'!EN106</f>
        <v>0</v>
      </c>
      <c r="I270" s="7">
        <f t="shared" si="12"/>
        <v>0</v>
      </c>
      <c r="J270" s="6">
        <f>I270/$I$25</f>
        <v>0</v>
      </c>
    </row>
    <row r="271" spans="1:10" x14ac:dyDescent="0.2">
      <c r="A271" s="17">
        <v>2</v>
      </c>
      <c r="B271" s="9">
        <v>3</v>
      </c>
      <c r="C271" s="9">
        <v>6</v>
      </c>
      <c r="D271" s="9">
        <v>2</v>
      </c>
      <c r="E271" s="24" t="s">
        <v>104</v>
      </c>
      <c r="F271" s="10" t="s">
        <v>22</v>
      </c>
      <c r="G271" s="7">
        <f>'CUENTA T FONDO 100'!EO126</f>
        <v>0</v>
      </c>
      <c r="H271" s="7">
        <f>'CUENTA T VS'!EO106</f>
        <v>0</v>
      </c>
      <c r="I271" s="7">
        <f t="shared" si="12"/>
        <v>0</v>
      </c>
      <c r="J271" s="6">
        <f>I271/$I$25</f>
        <v>0</v>
      </c>
    </row>
    <row r="272" spans="1:10" x14ac:dyDescent="0.2">
      <c r="A272" s="18">
        <v>2</v>
      </c>
      <c r="B272" s="15">
        <v>3</v>
      </c>
      <c r="C272" s="15">
        <v>6</v>
      </c>
      <c r="D272" s="15">
        <v>3</v>
      </c>
      <c r="E272" s="15"/>
      <c r="F272" s="16" t="s">
        <v>21</v>
      </c>
      <c r="G272" s="12">
        <f>SUM(G273:G275)</f>
        <v>215177.81</v>
      </c>
      <c r="H272" s="12">
        <f>SUM(H273:H275)</f>
        <v>0</v>
      </c>
      <c r="I272" s="12">
        <f t="shared" si="12"/>
        <v>215177.81</v>
      </c>
      <c r="J272" s="11"/>
    </row>
    <row r="273" spans="1:10" x14ac:dyDescent="0.2">
      <c r="A273" s="17">
        <v>2</v>
      </c>
      <c r="B273" s="9">
        <v>3</v>
      </c>
      <c r="C273" s="9">
        <v>6</v>
      </c>
      <c r="D273" s="9">
        <v>3</v>
      </c>
      <c r="E273" s="24" t="s">
        <v>172</v>
      </c>
      <c r="F273" s="33" t="s">
        <v>20</v>
      </c>
      <c r="G273" s="7">
        <f>'CUENTA T FONDO 100'!EP126</f>
        <v>202488</v>
      </c>
      <c r="H273" s="7">
        <f>'CUENTA T VS'!EP106</f>
        <v>0</v>
      </c>
      <c r="I273" s="7">
        <f t="shared" si="12"/>
        <v>202488</v>
      </c>
      <c r="J273" s="6">
        <f>I273/$I$25</f>
        <v>2.0146079808915636E-3</v>
      </c>
    </row>
    <row r="274" spans="1:10" x14ac:dyDescent="0.2">
      <c r="A274" s="17">
        <v>2</v>
      </c>
      <c r="B274" s="9">
        <v>3</v>
      </c>
      <c r="C274" s="9">
        <v>6</v>
      </c>
      <c r="D274" s="9">
        <v>3</v>
      </c>
      <c r="E274" s="24" t="s">
        <v>170</v>
      </c>
      <c r="F274" s="10" t="s">
        <v>19</v>
      </c>
      <c r="G274" s="7">
        <f>'CUENTA T FONDO 100'!EQ126</f>
        <v>0</v>
      </c>
      <c r="H274" s="7">
        <f>'CUENTA T VS'!EQ106</f>
        <v>0</v>
      </c>
      <c r="I274" s="7">
        <f t="shared" si="12"/>
        <v>0</v>
      </c>
      <c r="J274" s="6">
        <f>I274/$I$25</f>
        <v>0</v>
      </c>
    </row>
    <row r="275" spans="1:10" x14ac:dyDescent="0.2">
      <c r="A275" s="17">
        <v>2</v>
      </c>
      <c r="B275" s="9">
        <v>3</v>
      </c>
      <c r="C275" s="9">
        <v>6</v>
      </c>
      <c r="D275" s="9">
        <v>3</v>
      </c>
      <c r="E275" s="24" t="s">
        <v>61</v>
      </c>
      <c r="F275" s="10" t="s">
        <v>18</v>
      </c>
      <c r="G275" s="7">
        <f>'CUENTA T FONDO 100'!ER126</f>
        <v>12689.81</v>
      </c>
      <c r="H275" s="7">
        <f>'CUENTA T VS'!ER106</f>
        <v>0</v>
      </c>
      <c r="I275" s="7">
        <f t="shared" si="12"/>
        <v>12689.81</v>
      </c>
      <c r="J275" s="6">
        <f>I275/$I$25</f>
        <v>1.2625435829282511E-4</v>
      </c>
    </row>
    <row r="276" spans="1:10" x14ac:dyDescent="0.2">
      <c r="A276" s="18">
        <v>2</v>
      </c>
      <c r="B276" s="15">
        <v>3</v>
      </c>
      <c r="C276" s="15">
        <v>6</v>
      </c>
      <c r="D276" s="15">
        <v>4</v>
      </c>
      <c r="E276" s="15"/>
      <c r="F276" s="16" t="s">
        <v>17</v>
      </c>
      <c r="G276" s="12">
        <f>SUM(G277:G283)</f>
        <v>0</v>
      </c>
      <c r="H276" s="12">
        <f>SUM(H277:H283)</f>
        <v>0</v>
      </c>
      <c r="I276" s="12">
        <f t="shared" si="12"/>
        <v>0</v>
      </c>
      <c r="J276" s="11"/>
    </row>
    <row r="277" spans="1:10" x14ac:dyDescent="0.2">
      <c r="A277" s="17">
        <v>2</v>
      </c>
      <c r="B277" s="9">
        <v>3</v>
      </c>
      <c r="C277" s="9">
        <v>6</v>
      </c>
      <c r="D277" s="9">
        <v>4</v>
      </c>
      <c r="E277" s="24" t="s">
        <v>44</v>
      </c>
      <c r="F277" s="10" t="s">
        <v>16</v>
      </c>
      <c r="G277" s="7">
        <f>'CUENTA T FONDO 100'!ES126</f>
        <v>0</v>
      </c>
      <c r="H277" s="7">
        <f>'CUENTA T VS'!ES106</f>
        <v>0</v>
      </c>
      <c r="I277" s="7">
        <f t="shared" si="12"/>
        <v>0</v>
      </c>
      <c r="J277" s="6">
        <f t="shared" ref="J277:J283" si="13">I277/$I$25</f>
        <v>0</v>
      </c>
    </row>
    <row r="278" spans="1:10" x14ac:dyDescent="0.2">
      <c r="A278" s="17">
        <v>2</v>
      </c>
      <c r="B278" s="9">
        <v>3</v>
      </c>
      <c r="C278" s="9">
        <v>6</v>
      </c>
      <c r="D278" s="9">
        <v>4</v>
      </c>
      <c r="E278" s="24" t="s">
        <v>43</v>
      </c>
      <c r="F278" s="10" t="s">
        <v>199</v>
      </c>
      <c r="G278" s="7">
        <f>'CUENTA T FONDO 100'!ET126</f>
        <v>0</v>
      </c>
      <c r="H278" s="7">
        <f>'CUENTA T VS'!ET106</f>
        <v>0</v>
      </c>
      <c r="I278" s="7">
        <f t="shared" si="12"/>
        <v>0</v>
      </c>
      <c r="J278" s="6">
        <f t="shared" si="13"/>
        <v>0</v>
      </c>
    </row>
    <row r="279" spans="1:10" x14ac:dyDescent="0.2">
      <c r="A279" s="17">
        <v>2</v>
      </c>
      <c r="B279" s="9">
        <v>3</v>
      </c>
      <c r="C279" s="9">
        <v>6</v>
      </c>
      <c r="D279" s="9">
        <v>4</v>
      </c>
      <c r="E279" s="24" t="s">
        <v>104</v>
      </c>
      <c r="F279" s="10" t="s">
        <v>15</v>
      </c>
      <c r="G279" s="7">
        <f>'CUENTA T FONDO 100'!EU126</f>
        <v>0</v>
      </c>
      <c r="H279" s="7">
        <f>'CUENTA T VS'!EU106</f>
        <v>0</v>
      </c>
      <c r="I279" s="7">
        <f t="shared" si="12"/>
        <v>0</v>
      </c>
      <c r="J279" s="6">
        <f t="shared" si="13"/>
        <v>0</v>
      </c>
    </row>
    <row r="280" spans="1:10" x14ac:dyDescent="0.2">
      <c r="A280" s="17">
        <v>2</v>
      </c>
      <c r="B280" s="9">
        <v>3</v>
      </c>
      <c r="C280" s="9">
        <v>6</v>
      </c>
      <c r="D280" s="9">
        <v>4</v>
      </c>
      <c r="E280" s="24" t="s">
        <v>172</v>
      </c>
      <c r="F280" s="10" t="s">
        <v>198</v>
      </c>
      <c r="G280" s="7">
        <f>'CUENTA T FONDO 100'!EV126</f>
        <v>0</v>
      </c>
      <c r="H280" s="7">
        <f>'CUENTA T VS'!EV106</f>
        <v>0</v>
      </c>
      <c r="I280" s="7">
        <f t="shared" si="12"/>
        <v>0</v>
      </c>
      <c r="J280" s="6">
        <f t="shared" si="13"/>
        <v>0</v>
      </c>
    </row>
    <row r="281" spans="1:10" x14ac:dyDescent="0.2">
      <c r="A281" s="17">
        <v>2</v>
      </c>
      <c r="B281" s="9">
        <v>3</v>
      </c>
      <c r="C281" s="9">
        <v>6</v>
      </c>
      <c r="D281" s="9">
        <v>4</v>
      </c>
      <c r="E281" s="24" t="s">
        <v>170</v>
      </c>
      <c r="F281" s="10" t="s">
        <v>197</v>
      </c>
      <c r="G281" s="7">
        <f>'CUENTA T FONDO 100'!EW126</f>
        <v>0</v>
      </c>
      <c r="H281" s="7">
        <f>'CUENTA T VS'!EW106</f>
        <v>0</v>
      </c>
      <c r="I281" s="7">
        <f t="shared" ref="I281:I344" si="14">SUM(G281:H281)</f>
        <v>0</v>
      </c>
      <c r="J281" s="6">
        <f t="shared" si="13"/>
        <v>0</v>
      </c>
    </row>
    <row r="282" spans="1:10" x14ac:dyDescent="0.2">
      <c r="A282" s="17">
        <v>2</v>
      </c>
      <c r="B282" s="9">
        <v>3</v>
      </c>
      <c r="C282" s="9">
        <v>6</v>
      </c>
      <c r="D282" s="9">
        <v>4</v>
      </c>
      <c r="E282" s="24" t="s">
        <v>61</v>
      </c>
      <c r="F282" s="10" t="s">
        <v>196</v>
      </c>
      <c r="G282" s="7">
        <f>'CUENTA T FONDO 100'!EX126</f>
        <v>0</v>
      </c>
      <c r="H282" s="7">
        <f>'CUENTA T VS'!EX106</f>
        <v>0</v>
      </c>
      <c r="I282" s="7">
        <f t="shared" si="14"/>
        <v>0</v>
      </c>
      <c r="J282" s="6">
        <f t="shared" si="13"/>
        <v>0</v>
      </c>
    </row>
    <row r="283" spans="1:10" x14ac:dyDescent="0.2">
      <c r="A283" s="17">
        <v>2</v>
      </c>
      <c r="B283" s="9">
        <v>3</v>
      </c>
      <c r="C283" s="9">
        <v>6</v>
      </c>
      <c r="D283" s="9">
        <v>4</v>
      </c>
      <c r="E283" s="24" t="s">
        <v>60</v>
      </c>
      <c r="F283" s="10" t="s">
        <v>14</v>
      </c>
      <c r="G283" s="7">
        <f>'CUENTA T FONDO 100'!EY126</f>
        <v>0</v>
      </c>
      <c r="H283" s="7">
        <f>'CUENTA T VS'!EY106</f>
        <v>0</v>
      </c>
      <c r="I283" s="7">
        <f t="shared" si="14"/>
        <v>0</v>
      </c>
      <c r="J283" s="6">
        <f t="shared" si="13"/>
        <v>0</v>
      </c>
    </row>
    <row r="284" spans="1:10" x14ac:dyDescent="0.2">
      <c r="A284" s="18">
        <v>2</v>
      </c>
      <c r="B284" s="15">
        <v>3</v>
      </c>
      <c r="C284" s="15">
        <v>6</v>
      </c>
      <c r="D284" s="15">
        <v>9</v>
      </c>
      <c r="E284" s="15"/>
      <c r="F284" s="16" t="s">
        <v>195</v>
      </c>
      <c r="G284" s="12">
        <f>SUM(G285)</f>
        <v>0</v>
      </c>
      <c r="H284" s="12">
        <f>SUM(H285)</f>
        <v>0</v>
      </c>
      <c r="I284" s="12">
        <f t="shared" si="14"/>
        <v>0</v>
      </c>
      <c r="J284" s="11"/>
    </row>
    <row r="285" spans="1:10" x14ac:dyDescent="0.2">
      <c r="A285" s="17">
        <v>2</v>
      </c>
      <c r="B285" s="9">
        <v>3</v>
      </c>
      <c r="C285" s="9">
        <v>6</v>
      </c>
      <c r="D285" s="9">
        <v>9</v>
      </c>
      <c r="E285" s="24" t="s">
        <v>44</v>
      </c>
      <c r="F285" s="10" t="s">
        <v>402</v>
      </c>
      <c r="G285" s="7">
        <f>'CUENTA T FONDO 100'!EZ126</f>
        <v>0</v>
      </c>
      <c r="H285" s="7">
        <f>'CUENTA T VS'!EZ106</f>
        <v>0</v>
      </c>
      <c r="I285" s="7">
        <f t="shared" si="14"/>
        <v>0</v>
      </c>
      <c r="J285" s="6">
        <f>I285/$I$25</f>
        <v>0</v>
      </c>
    </row>
    <row r="286" spans="1:10" ht="25.5" x14ac:dyDescent="0.2">
      <c r="A286" s="30">
        <v>2</v>
      </c>
      <c r="B286" s="22">
        <v>3</v>
      </c>
      <c r="C286" s="22">
        <v>7</v>
      </c>
      <c r="D286" s="22"/>
      <c r="E286" s="22"/>
      <c r="F286" s="35" t="s">
        <v>194</v>
      </c>
      <c r="G286" s="20">
        <f>G287+G295</f>
        <v>4409677.4800000004</v>
      </c>
      <c r="H286" s="20">
        <f>H287+H295</f>
        <v>1065923</v>
      </c>
      <c r="I286" s="20">
        <f t="shared" si="14"/>
        <v>5475600.4800000004</v>
      </c>
      <c r="J286" s="19"/>
    </row>
    <row r="287" spans="1:10" x14ac:dyDescent="0.2">
      <c r="A287" s="18">
        <v>2</v>
      </c>
      <c r="B287" s="15">
        <v>3</v>
      </c>
      <c r="C287" s="15">
        <v>7</v>
      </c>
      <c r="D287" s="15">
        <v>1</v>
      </c>
      <c r="E287" s="15"/>
      <c r="F287" s="16" t="s">
        <v>13</v>
      </c>
      <c r="G287" s="12">
        <f>SUM(G288:G294)</f>
        <v>2314137.3200000003</v>
      </c>
      <c r="H287" s="12">
        <f>SUM(H288:H294)</f>
        <v>219073</v>
      </c>
      <c r="I287" s="12">
        <f t="shared" si="14"/>
        <v>2533210.3200000003</v>
      </c>
      <c r="J287" s="11"/>
    </row>
    <row r="288" spans="1:10" x14ac:dyDescent="0.2">
      <c r="A288" s="17">
        <v>2</v>
      </c>
      <c r="B288" s="9">
        <v>3</v>
      </c>
      <c r="C288" s="9">
        <v>7</v>
      </c>
      <c r="D288" s="9">
        <v>1</v>
      </c>
      <c r="E288" s="24" t="s">
        <v>44</v>
      </c>
      <c r="F288" s="10" t="s">
        <v>12</v>
      </c>
      <c r="G288" s="7">
        <f>'CUENTA T FONDO 100'!FA126</f>
        <v>1649337.32</v>
      </c>
      <c r="H288" s="7">
        <f>'CUENTA T VS'!FA106</f>
        <v>172000</v>
      </c>
      <c r="I288" s="7">
        <f t="shared" si="14"/>
        <v>1821337.32</v>
      </c>
      <c r="J288" s="6">
        <f t="shared" ref="J288:J294" si="15">I288/$I$25</f>
        <v>1.8120978530913694E-2</v>
      </c>
    </row>
    <row r="289" spans="1:10" x14ac:dyDescent="0.2">
      <c r="A289" s="17">
        <v>2</v>
      </c>
      <c r="B289" s="9">
        <v>3</v>
      </c>
      <c r="C289" s="9">
        <v>7</v>
      </c>
      <c r="D289" s="9">
        <v>1</v>
      </c>
      <c r="E289" s="24" t="s">
        <v>43</v>
      </c>
      <c r="F289" s="10" t="s">
        <v>11</v>
      </c>
      <c r="G289" s="7">
        <f>'CUENTA T FONDO 100'!FB126</f>
        <v>664800</v>
      </c>
      <c r="H289" s="7">
        <f>'CUENTA T VS'!FB106</f>
        <v>0</v>
      </c>
      <c r="I289" s="7">
        <f t="shared" si="14"/>
        <v>664800</v>
      </c>
      <c r="J289" s="6">
        <f t="shared" si="15"/>
        <v>6.6142753432139757E-3</v>
      </c>
    </row>
    <row r="290" spans="1:10" x14ac:dyDescent="0.2">
      <c r="A290" s="17">
        <v>2</v>
      </c>
      <c r="B290" s="9">
        <v>3</v>
      </c>
      <c r="C290" s="9">
        <v>7</v>
      </c>
      <c r="D290" s="9">
        <v>1</v>
      </c>
      <c r="E290" s="24" t="s">
        <v>104</v>
      </c>
      <c r="F290" s="10" t="s">
        <v>193</v>
      </c>
      <c r="G290" s="7">
        <f>'CUENTA T FONDO 100'!FC126</f>
        <v>0</v>
      </c>
      <c r="H290" s="7">
        <f>'CUENTA T VS'!FC106</f>
        <v>0</v>
      </c>
      <c r="I290" s="7">
        <f t="shared" si="14"/>
        <v>0</v>
      </c>
      <c r="J290" s="6">
        <f t="shared" si="15"/>
        <v>0</v>
      </c>
    </row>
    <row r="291" spans="1:10" x14ac:dyDescent="0.2">
      <c r="A291" s="17">
        <v>2</v>
      </c>
      <c r="B291" s="9">
        <v>3</v>
      </c>
      <c r="C291" s="9">
        <v>7</v>
      </c>
      <c r="D291" s="9">
        <v>1</v>
      </c>
      <c r="E291" s="24" t="s">
        <v>172</v>
      </c>
      <c r="F291" s="10" t="s">
        <v>10</v>
      </c>
      <c r="G291" s="7">
        <f>'CUENTA T FONDO 100'!FD126</f>
        <v>0</v>
      </c>
      <c r="H291" s="7">
        <f>'CUENTA T VS'!FD106</f>
        <v>47073</v>
      </c>
      <c r="I291" s="7">
        <f t="shared" si="14"/>
        <v>47073</v>
      </c>
      <c r="J291" s="6">
        <f t="shared" si="15"/>
        <v>4.68342032537773E-4</v>
      </c>
    </row>
    <row r="292" spans="1:10" x14ac:dyDescent="0.2">
      <c r="A292" s="17">
        <v>2</v>
      </c>
      <c r="B292" s="9">
        <v>3</v>
      </c>
      <c r="C292" s="9">
        <v>7</v>
      </c>
      <c r="D292" s="9">
        <v>1</v>
      </c>
      <c r="E292" s="24" t="s">
        <v>170</v>
      </c>
      <c r="F292" s="10" t="s">
        <v>192</v>
      </c>
      <c r="G292" s="7">
        <f>'CUENTA T FONDO 100'!FE126</f>
        <v>0</v>
      </c>
      <c r="H292" s="7">
        <f>'CUENTA T VS'!FE106</f>
        <v>0</v>
      </c>
      <c r="I292" s="7">
        <f t="shared" si="14"/>
        <v>0</v>
      </c>
      <c r="J292" s="6">
        <f t="shared" si="15"/>
        <v>0</v>
      </c>
    </row>
    <row r="293" spans="1:10" x14ac:dyDescent="0.2">
      <c r="A293" s="17">
        <v>2</v>
      </c>
      <c r="B293" s="9">
        <v>3</v>
      </c>
      <c r="C293" s="9">
        <v>7</v>
      </c>
      <c r="D293" s="9">
        <v>1</v>
      </c>
      <c r="E293" s="24" t="s">
        <v>61</v>
      </c>
      <c r="F293" s="10" t="s">
        <v>9</v>
      </c>
      <c r="G293" s="7">
        <f>'CUENTA T FONDO 100'!FF126</f>
        <v>0</v>
      </c>
      <c r="H293" s="7">
        <f>'CUENTA T VS'!FF106</f>
        <v>0</v>
      </c>
      <c r="I293" s="7">
        <f t="shared" si="14"/>
        <v>0</v>
      </c>
      <c r="J293" s="6">
        <f t="shared" si="15"/>
        <v>0</v>
      </c>
    </row>
    <row r="294" spans="1:10" x14ac:dyDescent="0.2">
      <c r="A294" s="17">
        <v>2</v>
      </c>
      <c r="B294" s="9">
        <v>3</v>
      </c>
      <c r="C294" s="9">
        <v>7</v>
      </c>
      <c r="D294" s="9">
        <v>1</v>
      </c>
      <c r="E294" s="24" t="s">
        <v>60</v>
      </c>
      <c r="F294" s="10" t="s">
        <v>191</v>
      </c>
      <c r="G294" s="7">
        <f>'CUENTA T FONDO 100'!FG126</f>
        <v>0</v>
      </c>
      <c r="H294" s="7">
        <f>'CUENTA T VS'!FG106</f>
        <v>0</v>
      </c>
      <c r="I294" s="7">
        <f t="shared" si="14"/>
        <v>0</v>
      </c>
      <c r="J294" s="6">
        <f t="shared" si="15"/>
        <v>0</v>
      </c>
    </row>
    <row r="295" spans="1:10" x14ac:dyDescent="0.2">
      <c r="A295" s="18">
        <v>2</v>
      </c>
      <c r="B295" s="15">
        <v>3</v>
      </c>
      <c r="C295" s="15">
        <v>7</v>
      </c>
      <c r="D295" s="15">
        <v>2</v>
      </c>
      <c r="E295" s="15"/>
      <c r="F295" s="16" t="s">
        <v>8</v>
      </c>
      <c r="G295" s="12">
        <f>SUM(G296:G302)</f>
        <v>2095540.16</v>
      </c>
      <c r="H295" s="12">
        <f>SUM(H296:H302)</f>
        <v>846850</v>
      </c>
      <c r="I295" s="12">
        <f t="shared" si="14"/>
        <v>2942390.16</v>
      </c>
      <c r="J295" s="11"/>
    </row>
    <row r="296" spans="1:10" x14ac:dyDescent="0.2">
      <c r="A296" s="17">
        <v>2</v>
      </c>
      <c r="B296" s="9">
        <v>3</v>
      </c>
      <c r="C296" s="9">
        <v>7</v>
      </c>
      <c r="D296" s="9">
        <v>2</v>
      </c>
      <c r="E296" s="24" t="s">
        <v>44</v>
      </c>
      <c r="F296" s="10" t="s">
        <v>190</v>
      </c>
      <c r="G296" s="7">
        <f>'CUENTA T FONDO 100'!FH126</f>
        <v>0</v>
      </c>
      <c r="H296" s="7">
        <f>'CUENTA T VS'!FH106</f>
        <v>0</v>
      </c>
      <c r="I296" s="7">
        <f t="shared" si="14"/>
        <v>0</v>
      </c>
      <c r="J296" s="6">
        <f t="shared" ref="J296:J302" si="16">I296/$I$25</f>
        <v>0</v>
      </c>
    </row>
    <row r="297" spans="1:10" x14ac:dyDescent="0.2">
      <c r="A297" s="17">
        <v>2</v>
      </c>
      <c r="B297" s="9">
        <v>3</v>
      </c>
      <c r="C297" s="9">
        <v>7</v>
      </c>
      <c r="D297" s="9">
        <v>2</v>
      </c>
      <c r="E297" s="24" t="s">
        <v>43</v>
      </c>
      <c r="F297" s="10" t="s">
        <v>189</v>
      </c>
      <c r="G297" s="7">
        <f>'CUENTA T FONDO 100'!FI126</f>
        <v>0</v>
      </c>
      <c r="H297" s="7">
        <f>'CUENTA T VS'!FI106</f>
        <v>0</v>
      </c>
      <c r="I297" s="7">
        <f t="shared" si="14"/>
        <v>0</v>
      </c>
      <c r="J297" s="6">
        <f t="shared" si="16"/>
        <v>0</v>
      </c>
    </row>
    <row r="298" spans="1:10" x14ac:dyDescent="0.2">
      <c r="A298" s="17">
        <v>2</v>
      </c>
      <c r="B298" s="9">
        <v>3</v>
      </c>
      <c r="C298" s="9">
        <v>7</v>
      </c>
      <c r="D298" s="9">
        <v>2</v>
      </c>
      <c r="E298" s="24" t="s">
        <v>104</v>
      </c>
      <c r="F298" s="10" t="s">
        <v>381</v>
      </c>
      <c r="G298" s="7">
        <f>'CUENTA T FONDO 100'!FJ126</f>
        <v>1653884.2999999998</v>
      </c>
      <c r="H298" s="7">
        <f>'CUENTA T VS'!FJ106</f>
        <v>846850</v>
      </c>
      <c r="I298" s="7">
        <f t="shared" si="14"/>
        <v>2500734.2999999998</v>
      </c>
      <c r="J298" s="6">
        <f t="shared" si="16"/>
        <v>2.4880483183543113E-2</v>
      </c>
    </row>
    <row r="299" spans="1:10" x14ac:dyDescent="0.2">
      <c r="A299" s="17">
        <v>2</v>
      </c>
      <c r="B299" s="9">
        <v>3</v>
      </c>
      <c r="C299" s="9">
        <v>7</v>
      </c>
      <c r="D299" s="9">
        <v>2</v>
      </c>
      <c r="E299" s="24" t="s">
        <v>172</v>
      </c>
      <c r="F299" s="10" t="s">
        <v>188</v>
      </c>
      <c r="G299" s="7">
        <f>'CUENTA T FONDO 100'!FK126</f>
        <v>0</v>
      </c>
      <c r="H299" s="7">
        <f>'CUENTA T VS'!FK106</f>
        <v>0</v>
      </c>
      <c r="I299" s="7">
        <f t="shared" si="14"/>
        <v>0</v>
      </c>
      <c r="J299" s="6">
        <f t="shared" si="16"/>
        <v>0</v>
      </c>
    </row>
    <row r="300" spans="1:10" x14ac:dyDescent="0.2">
      <c r="A300" s="17">
        <v>2</v>
      </c>
      <c r="B300" s="9">
        <v>3</v>
      </c>
      <c r="C300" s="9">
        <v>7</v>
      </c>
      <c r="D300" s="9">
        <v>2</v>
      </c>
      <c r="E300" s="24" t="s">
        <v>170</v>
      </c>
      <c r="F300" s="10" t="s">
        <v>187</v>
      </c>
      <c r="G300" s="7">
        <f>'CUENTA T FONDO 100'!FL126</f>
        <v>0</v>
      </c>
      <c r="H300" s="7">
        <f>'CUENTA T VS'!FL106</f>
        <v>0</v>
      </c>
      <c r="I300" s="7">
        <f t="shared" si="14"/>
        <v>0</v>
      </c>
      <c r="J300" s="6">
        <f t="shared" si="16"/>
        <v>0</v>
      </c>
    </row>
    <row r="301" spans="1:10" ht="25.5" x14ac:dyDescent="0.2">
      <c r="A301" s="10">
        <v>2</v>
      </c>
      <c r="B301" s="9">
        <v>3</v>
      </c>
      <c r="C301" s="9">
        <v>7</v>
      </c>
      <c r="D301" s="9">
        <v>2</v>
      </c>
      <c r="E301" s="24" t="s">
        <v>61</v>
      </c>
      <c r="F301" s="36" t="s">
        <v>186</v>
      </c>
      <c r="G301" s="7">
        <f>'CUENTA T FONDO 100'!FM126</f>
        <v>327699.16000000003</v>
      </c>
      <c r="H301" s="7">
        <f>'CUENTA T VS'!FM106</f>
        <v>0</v>
      </c>
      <c r="I301" s="7">
        <f t="shared" si="14"/>
        <v>327699.16000000003</v>
      </c>
      <c r="J301" s="6">
        <f t="shared" si="16"/>
        <v>3.2603677406437001E-3</v>
      </c>
    </row>
    <row r="302" spans="1:10" x14ac:dyDescent="0.2">
      <c r="A302" s="10">
        <v>2</v>
      </c>
      <c r="B302" s="9">
        <v>3</v>
      </c>
      <c r="C302" s="9">
        <v>7</v>
      </c>
      <c r="D302" s="9">
        <v>2</v>
      </c>
      <c r="E302" s="24">
        <v>99</v>
      </c>
      <c r="F302" s="36" t="s">
        <v>6</v>
      </c>
      <c r="G302" s="7">
        <f>'CUENTA T FONDO 100'!FN126</f>
        <v>113956.7</v>
      </c>
      <c r="H302" s="7">
        <f>'CUENTA T VS'!FN106</f>
        <v>0</v>
      </c>
      <c r="I302" s="7">
        <f t="shared" si="14"/>
        <v>113956.7</v>
      </c>
      <c r="J302" s="6">
        <f t="shared" si="16"/>
        <v>1.1337860875511915E-3</v>
      </c>
    </row>
    <row r="303" spans="1:10" ht="25.5" x14ac:dyDescent="0.2">
      <c r="A303" s="30">
        <v>2</v>
      </c>
      <c r="B303" s="22">
        <v>3</v>
      </c>
      <c r="C303" s="22">
        <v>8</v>
      </c>
      <c r="D303" s="22"/>
      <c r="E303" s="22"/>
      <c r="F303" s="35" t="s">
        <v>185</v>
      </c>
      <c r="G303" s="20">
        <f>+G304+G306</f>
        <v>0</v>
      </c>
      <c r="H303" s="20">
        <f>+H304+H306</f>
        <v>0</v>
      </c>
      <c r="I303" s="20">
        <f t="shared" si="14"/>
        <v>0</v>
      </c>
      <c r="J303" s="19"/>
    </row>
    <row r="304" spans="1:10" x14ac:dyDescent="0.2">
      <c r="A304" s="16">
        <v>2</v>
      </c>
      <c r="B304" s="15">
        <v>3</v>
      </c>
      <c r="C304" s="15">
        <v>8</v>
      </c>
      <c r="D304" s="15">
        <v>1</v>
      </c>
      <c r="E304" s="15"/>
      <c r="F304" s="16" t="s">
        <v>184</v>
      </c>
      <c r="G304" s="12">
        <f>SUM(G305)</f>
        <v>0</v>
      </c>
      <c r="H304" s="12">
        <f>SUM(H305)</f>
        <v>0</v>
      </c>
      <c r="I304" s="12">
        <f t="shared" si="14"/>
        <v>0</v>
      </c>
      <c r="J304" s="11"/>
    </row>
    <row r="305" spans="1:10" x14ac:dyDescent="0.2">
      <c r="A305" s="10">
        <v>2</v>
      </c>
      <c r="B305" s="9">
        <v>3</v>
      </c>
      <c r="C305" s="9">
        <v>8</v>
      </c>
      <c r="D305" s="9">
        <v>1</v>
      </c>
      <c r="E305" s="24" t="s">
        <v>44</v>
      </c>
      <c r="F305" s="10" t="s">
        <v>184</v>
      </c>
      <c r="G305" s="7">
        <f>'CUENTA T FONDO 100'!FO126</f>
        <v>0</v>
      </c>
      <c r="H305" s="7">
        <f>'CUENTA T VS'!FO106</f>
        <v>0</v>
      </c>
      <c r="I305" s="7">
        <f t="shared" si="14"/>
        <v>0</v>
      </c>
      <c r="J305" s="6">
        <f>I305/$I$25</f>
        <v>0</v>
      </c>
    </row>
    <row r="306" spans="1:10" ht="25.5" x14ac:dyDescent="0.2">
      <c r="A306" s="16">
        <v>2</v>
      </c>
      <c r="B306" s="15">
        <v>3</v>
      </c>
      <c r="C306" s="15">
        <v>8</v>
      </c>
      <c r="D306" s="15">
        <v>2</v>
      </c>
      <c r="E306" s="15"/>
      <c r="F306" s="34" t="s">
        <v>183</v>
      </c>
      <c r="G306" s="12">
        <f>SUM(G307)</f>
        <v>0</v>
      </c>
      <c r="H306" s="12">
        <f>SUM(H307)</f>
        <v>0</v>
      </c>
      <c r="I306" s="12">
        <f t="shared" si="14"/>
        <v>0</v>
      </c>
      <c r="J306" s="11"/>
    </row>
    <row r="307" spans="1:10" ht="25.5" x14ac:dyDescent="0.2">
      <c r="A307" s="10">
        <v>2</v>
      </c>
      <c r="B307" s="9">
        <v>3</v>
      </c>
      <c r="C307" s="9">
        <v>8</v>
      </c>
      <c r="D307" s="9">
        <v>2</v>
      </c>
      <c r="E307" s="24" t="s">
        <v>44</v>
      </c>
      <c r="F307" s="33" t="s">
        <v>183</v>
      </c>
      <c r="G307" s="7">
        <f>'CUENTA T FONDO 100'!FP126</f>
        <v>0</v>
      </c>
      <c r="H307" s="7">
        <f>'CUENTA T VS'!FP106</f>
        <v>0</v>
      </c>
      <c r="I307" s="7">
        <f t="shared" si="14"/>
        <v>0</v>
      </c>
      <c r="J307" s="6">
        <f>I307/$I$25</f>
        <v>0</v>
      </c>
    </row>
    <row r="308" spans="1:10" x14ac:dyDescent="0.2">
      <c r="A308" s="30">
        <v>2</v>
      </c>
      <c r="B308" s="22">
        <v>3</v>
      </c>
      <c r="C308" s="22">
        <v>9</v>
      </c>
      <c r="D308" s="22"/>
      <c r="E308" s="22"/>
      <c r="F308" s="30" t="s">
        <v>182</v>
      </c>
      <c r="G308" s="20">
        <f>+G309+G312+G314+G316+G318+G320+G322+G324+G327</f>
        <v>6539281.8900000006</v>
      </c>
      <c r="H308" s="20">
        <f>+H309+H312+H314+H316+H318+H320+H322+H324+H327</f>
        <v>258010.6</v>
      </c>
      <c r="I308" s="20">
        <f t="shared" si="14"/>
        <v>6797292.4900000002</v>
      </c>
      <c r="J308" s="19"/>
    </row>
    <row r="309" spans="1:10" x14ac:dyDescent="0.2">
      <c r="A309" s="18">
        <v>2</v>
      </c>
      <c r="B309" s="15">
        <v>3</v>
      </c>
      <c r="C309" s="15">
        <v>9</v>
      </c>
      <c r="D309" s="15">
        <v>1</v>
      </c>
      <c r="E309" s="15"/>
      <c r="F309" s="16" t="s">
        <v>5</v>
      </c>
      <c r="G309" s="12">
        <f>SUM(G310:G311)</f>
        <v>662238.28999999992</v>
      </c>
      <c r="H309" s="12">
        <f>SUM(H310:H311)</f>
        <v>98506.4</v>
      </c>
      <c r="I309" s="12">
        <f t="shared" si="14"/>
        <v>760744.69</v>
      </c>
      <c r="J309" s="11"/>
    </row>
    <row r="310" spans="1:10" x14ac:dyDescent="0.2">
      <c r="A310" s="17">
        <v>2</v>
      </c>
      <c r="B310" s="9">
        <v>3</v>
      </c>
      <c r="C310" s="9">
        <v>9</v>
      </c>
      <c r="D310" s="9">
        <v>1</v>
      </c>
      <c r="E310" s="24" t="s">
        <v>44</v>
      </c>
      <c r="F310" s="10" t="s">
        <v>403</v>
      </c>
      <c r="G310" s="7">
        <f>'CUENTA T FONDO 100'!FQ126</f>
        <v>662238.28999999992</v>
      </c>
      <c r="H310" s="7">
        <f>'CUENTA T VS'!FQ106</f>
        <v>98506.4</v>
      </c>
      <c r="I310" s="7">
        <f t="shared" si="14"/>
        <v>760744.69</v>
      </c>
      <c r="J310" s="6">
        <f>I310/$I$25</f>
        <v>7.5688550624969306E-3</v>
      </c>
    </row>
    <row r="311" spans="1:10" x14ac:dyDescent="0.2">
      <c r="A311" s="17">
        <v>2</v>
      </c>
      <c r="B311" s="9">
        <v>3</v>
      </c>
      <c r="C311" s="9">
        <v>9</v>
      </c>
      <c r="D311" s="9">
        <v>1</v>
      </c>
      <c r="E311" s="24" t="s">
        <v>43</v>
      </c>
      <c r="F311" s="10" t="s">
        <v>404</v>
      </c>
      <c r="G311" s="7">
        <f>'CUENTA T FONDO 100'!FR126</f>
        <v>0</v>
      </c>
      <c r="H311" s="7">
        <f>'CUENTA T VS'!FR106</f>
        <v>0</v>
      </c>
      <c r="I311" s="7">
        <f t="shared" si="14"/>
        <v>0</v>
      </c>
      <c r="J311" s="6">
        <f>I311/$I$25</f>
        <v>0</v>
      </c>
    </row>
    <row r="312" spans="1:10" x14ac:dyDescent="0.2">
      <c r="A312" s="18">
        <v>2</v>
      </c>
      <c r="B312" s="15">
        <v>3</v>
      </c>
      <c r="C312" s="15">
        <v>9</v>
      </c>
      <c r="D312" s="15">
        <v>2</v>
      </c>
      <c r="E312" s="15"/>
      <c r="F312" s="16" t="s">
        <v>406</v>
      </c>
      <c r="G312" s="12">
        <f>SUM(G313)</f>
        <v>7363.2</v>
      </c>
      <c r="H312" s="12">
        <f>SUM(H313)</f>
        <v>0</v>
      </c>
      <c r="I312" s="12">
        <f t="shared" si="14"/>
        <v>7363.2</v>
      </c>
      <c r="J312" s="11"/>
    </row>
    <row r="313" spans="1:10" x14ac:dyDescent="0.2">
      <c r="A313" s="17">
        <v>2</v>
      </c>
      <c r="B313" s="9">
        <v>3</v>
      </c>
      <c r="C313" s="9">
        <v>9</v>
      </c>
      <c r="D313" s="9">
        <v>2</v>
      </c>
      <c r="E313" s="24" t="s">
        <v>44</v>
      </c>
      <c r="F313" s="10" t="s">
        <v>405</v>
      </c>
      <c r="G313" s="7">
        <f>'CUENTA T FONDO 100'!FS126</f>
        <v>7363.2</v>
      </c>
      <c r="H313" s="7">
        <f>'CUENTA T VS'!FS106</f>
        <v>0</v>
      </c>
      <c r="I313" s="7">
        <f t="shared" si="14"/>
        <v>7363.2</v>
      </c>
      <c r="J313" s="6">
        <f>I313/$I$25</f>
        <v>7.3258472032420498E-5</v>
      </c>
    </row>
    <row r="314" spans="1:10" x14ac:dyDescent="0.2">
      <c r="A314" s="18">
        <v>2</v>
      </c>
      <c r="B314" s="15">
        <v>3</v>
      </c>
      <c r="C314" s="15">
        <v>9</v>
      </c>
      <c r="D314" s="15">
        <v>3</v>
      </c>
      <c r="E314" s="15"/>
      <c r="F314" s="16" t="s">
        <v>181</v>
      </c>
      <c r="G314" s="12">
        <f>SUM(G315)</f>
        <v>5679913.2400000002</v>
      </c>
      <c r="H314" s="12">
        <f>SUM(H315)</f>
        <v>108884.20000000001</v>
      </c>
      <c r="I314" s="12">
        <f t="shared" si="14"/>
        <v>5788797.4400000004</v>
      </c>
      <c r="J314" s="11"/>
    </row>
    <row r="315" spans="1:10" x14ac:dyDescent="0.2">
      <c r="A315" s="17">
        <v>2</v>
      </c>
      <c r="B315" s="9">
        <v>3</v>
      </c>
      <c r="C315" s="9">
        <v>9</v>
      </c>
      <c r="D315" s="9">
        <v>3</v>
      </c>
      <c r="E315" s="24" t="s">
        <v>44</v>
      </c>
      <c r="F315" s="10" t="s">
        <v>181</v>
      </c>
      <c r="G315" s="7">
        <f>'CUENTA T FONDO 100'!FT126</f>
        <v>5679913.2400000002</v>
      </c>
      <c r="H315" s="7">
        <f>'CUENTA T VS'!FT106</f>
        <v>108884.20000000001</v>
      </c>
      <c r="I315" s="7">
        <f t="shared" si="14"/>
        <v>5788797.4400000004</v>
      </c>
      <c r="J315" s="6">
        <f>I315/$I$25</f>
        <v>5.7594314341534579E-2</v>
      </c>
    </row>
    <row r="316" spans="1:10" x14ac:dyDescent="0.2">
      <c r="A316" s="18">
        <v>2</v>
      </c>
      <c r="B316" s="15">
        <v>3</v>
      </c>
      <c r="C316" s="15">
        <v>9</v>
      </c>
      <c r="D316" s="15">
        <v>4</v>
      </c>
      <c r="E316" s="15"/>
      <c r="F316" s="16" t="s">
        <v>180</v>
      </c>
      <c r="G316" s="12">
        <f>SUM(G317)</f>
        <v>0</v>
      </c>
      <c r="H316" s="12">
        <f>SUM(H317)</f>
        <v>0</v>
      </c>
      <c r="I316" s="12">
        <f t="shared" si="14"/>
        <v>0</v>
      </c>
      <c r="J316" s="11"/>
    </row>
    <row r="317" spans="1:10" x14ac:dyDescent="0.2">
      <c r="A317" s="17">
        <v>2</v>
      </c>
      <c r="B317" s="9">
        <v>3</v>
      </c>
      <c r="C317" s="9">
        <v>9</v>
      </c>
      <c r="D317" s="9">
        <v>4</v>
      </c>
      <c r="E317" s="24" t="s">
        <v>44</v>
      </c>
      <c r="F317" s="10" t="s">
        <v>180</v>
      </c>
      <c r="G317" s="7">
        <f>'CUENTA T FONDO 100'!FU126</f>
        <v>0</v>
      </c>
      <c r="H317" s="7">
        <f>'CUENTA T VS'!FU106</f>
        <v>0</v>
      </c>
      <c r="I317" s="7">
        <f t="shared" si="14"/>
        <v>0</v>
      </c>
      <c r="J317" s="6">
        <f>I317/$I$25</f>
        <v>0</v>
      </c>
    </row>
    <row r="318" spans="1:10" x14ac:dyDescent="0.2">
      <c r="A318" s="18">
        <v>2</v>
      </c>
      <c r="B318" s="15">
        <v>3</v>
      </c>
      <c r="C318" s="15">
        <v>9</v>
      </c>
      <c r="D318" s="15">
        <v>5</v>
      </c>
      <c r="E318" s="15"/>
      <c r="F318" s="16" t="s">
        <v>4</v>
      </c>
      <c r="G318" s="12">
        <f>SUM(G319)</f>
        <v>0</v>
      </c>
      <c r="H318" s="12">
        <f>SUM(H319)</f>
        <v>0</v>
      </c>
      <c r="I318" s="12">
        <f t="shared" si="14"/>
        <v>0</v>
      </c>
      <c r="J318" s="11"/>
    </row>
    <row r="319" spans="1:10" x14ac:dyDescent="0.2">
      <c r="A319" s="17">
        <v>2</v>
      </c>
      <c r="B319" s="9">
        <v>3</v>
      </c>
      <c r="C319" s="9">
        <v>9</v>
      </c>
      <c r="D319" s="9">
        <v>5</v>
      </c>
      <c r="E319" s="24" t="s">
        <v>44</v>
      </c>
      <c r="F319" s="10" t="s">
        <v>4</v>
      </c>
      <c r="G319" s="7">
        <f>'CUENTA T FONDO 100'!FV126</f>
        <v>0</v>
      </c>
      <c r="H319" s="7">
        <f>'CUENTA T VS'!FV106</f>
        <v>0</v>
      </c>
      <c r="I319" s="7">
        <f t="shared" si="14"/>
        <v>0</v>
      </c>
      <c r="J319" s="6">
        <f>I319/$I$25</f>
        <v>0</v>
      </c>
    </row>
    <row r="320" spans="1:10" x14ac:dyDescent="0.2">
      <c r="A320" s="18">
        <v>2</v>
      </c>
      <c r="B320" s="15">
        <v>3</v>
      </c>
      <c r="C320" s="15">
        <v>9</v>
      </c>
      <c r="D320" s="15">
        <v>6</v>
      </c>
      <c r="E320" s="15"/>
      <c r="F320" s="16" t="s">
        <v>3</v>
      </c>
      <c r="G320" s="12">
        <f>SUM(G321)</f>
        <v>148801.03</v>
      </c>
      <c r="H320" s="12">
        <f>SUM(H321)</f>
        <v>0</v>
      </c>
      <c r="I320" s="12">
        <f t="shared" si="14"/>
        <v>148801.03</v>
      </c>
      <c r="J320" s="11"/>
    </row>
    <row r="321" spans="1:10" x14ac:dyDescent="0.2">
      <c r="A321" s="17">
        <v>2</v>
      </c>
      <c r="B321" s="9">
        <v>3</v>
      </c>
      <c r="C321" s="9">
        <v>9</v>
      </c>
      <c r="D321" s="9">
        <v>6</v>
      </c>
      <c r="E321" s="24" t="s">
        <v>44</v>
      </c>
      <c r="F321" s="10" t="s">
        <v>3</v>
      </c>
      <c r="G321" s="7">
        <f>'CUENTA T FONDO 100'!FW126</f>
        <v>148801.03</v>
      </c>
      <c r="H321" s="7">
        <f>'CUENTA T VS'!FW106</f>
        <v>0</v>
      </c>
      <c r="I321" s="7">
        <f t="shared" si="14"/>
        <v>148801.03</v>
      </c>
      <c r="J321" s="6">
        <f>I321/$I$25</f>
        <v>1.4804617686128808E-3</v>
      </c>
    </row>
    <row r="322" spans="1:10" x14ac:dyDescent="0.2">
      <c r="A322" s="18">
        <v>2</v>
      </c>
      <c r="B322" s="15">
        <v>3</v>
      </c>
      <c r="C322" s="15">
        <v>9</v>
      </c>
      <c r="D322" s="15">
        <v>7</v>
      </c>
      <c r="E322" s="15"/>
      <c r="F322" s="16" t="s">
        <v>179</v>
      </c>
      <c r="G322" s="12">
        <f>SUM(G323)</f>
        <v>0</v>
      </c>
      <c r="H322" s="12">
        <f>SUM(H323)</f>
        <v>0</v>
      </c>
      <c r="I322" s="12">
        <f t="shared" si="14"/>
        <v>0</v>
      </c>
      <c r="J322" s="11"/>
    </row>
    <row r="323" spans="1:10" x14ac:dyDescent="0.2">
      <c r="A323" s="17">
        <v>2</v>
      </c>
      <c r="B323" s="9">
        <v>3</v>
      </c>
      <c r="C323" s="9">
        <v>9</v>
      </c>
      <c r="D323" s="9">
        <v>7</v>
      </c>
      <c r="E323" s="24" t="s">
        <v>44</v>
      </c>
      <c r="F323" s="10" t="s">
        <v>179</v>
      </c>
      <c r="G323" s="7">
        <f>'CUENTA T FONDO 100'!FX126</f>
        <v>0</v>
      </c>
      <c r="H323" s="7">
        <f>'CUENTA T VS'!FX106</f>
        <v>0</v>
      </c>
      <c r="I323" s="7">
        <f t="shared" si="14"/>
        <v>0</v>
      </c>
      <c r="J323" s="6">
        <f>I323/$I$25</f>
        <v>0</v>
      </c>
    </row>
    <row r="324" spans="1:10" x14ac:dyDescent="0.2">
      <c r="A324" s="18">
        <v>2</v>
      </c>
      <c r="B324" s="15">
        <v>3</v>
      </c>
      <c r="C324" s="15">
        <v>9</v>
      </c>
      <c r="D324" s="15">
        <v>8</v>
      </c>
      <c r="E324" s="15"/>
      <c r="F324" s="16" t="s">
        <v>2</v>
      </c>
      <c r="G324" s="12">
        <f>SUM(G325:G326)</f>
        <v>0</v>
      </c>
      <c r="H324" s="12">
        <f>SUM(H325:H326)</f>
        <v>0</v>
      </c>
      <c r="I324" s="12">
        <f t="shared" si="14"/>
        <v>0</v>
      </c>
      <c r="J324" s="11"/>
    </row>
    <row r="325" spans="1:10" x14ac:dyDescent="0.2">
      <c r="A325" s="17">
        <v>2</v>
      </c>
      <c r="B325" s="9">
        <v>3</v>
      </c>
      <c r="C325" s="9">
        <v>9</v>
      </c>
      <c r="D325" s="9">
        <v>8</v>
      </c>
      <c r="E325" s="24" t="s">
        <v>44</v>
      </c>
      <c r="F325" s="10" t="s">
        <v>178</v>
      </c>
      <c r="G325" s="7">
        <f>'CUENTA T FONDO 100'!FY126</f>
        <v>0</v>
      </c>
      <c r="H325" s="7">
        <f>'CUENTA T VS'!FY106</f>
        <v>0</v>
      </c>
      <c r="I325" s="7">
        <f t="shared" si="14"/>
        <v>0</v>
      </c>
      <c r="J325" s="6">
        <f>I325/$I$25</f>
        <v>0</v>
      </c>
    </row>
    <row r="326" spans="1:10" x14ac:dyDescent="0.2">
      <c r="A326" s="17">
        <v>2</v>
      </c>
      <c r="B326" s="9">
        <v>3</v>
      </c>
      <c r="C326" s="9">
        <v>9</v>
      </c>
      <c r="D326" s="9">
        <v>8</v>
      </c>
      <c r="E326" s="24" t="s">
        <v>43</v>
      </c>
      <c r="F326" s="10" t="s">
        <v>177</v>
      </c>
      <c r="G326" s="7">
        <f>'CUENTA T FONDO 100'!FZ126</f>
        <v>0</v>
      </c>
      <c r="H326" s="7">
        <f>'CUENTA T VS'!FZ106</f>
        <v>0</v>
      </c>
      <c r="I326" s="7">
        <f t="shared" si="14"/>
        <v>0</v>
      </c>
      <c r="J326" s="6">
        <f>I326/$I$25</f>
        <v>0</v>
      </c>
    </row>
    <row r="327" spans="1:10" x14ac:dyDescent="0.2">
      <c r="A327" s="18">
        <v>2</v>
      </c>
      <c r="B327" s="15">
        <v>3</v>
      </c>
      <c r="C327" s="15">
        <v>9</v>
      </c>
      <c r="D327" s="15">
        <v>9</v>
      </c>
      <c r="E327" s="15"/>
      <c r="F327" s="16" t="s">
        <v>1</v>
      </c>
      <c r="G327" s="12">
        <f>SUM(G328:G329)</f>
        <v>40966.129999999997</v>
      </c>
      <c r="H327" s="12">
        <f>SUM(H328:H329)</f>
        <v>50620</v>
      </c>
      <c r="I327" s="12">
        <f t="shared" si="14"/>
        <v>91586.13</v>
      </c>
      <c r="J327" s="11"/>
    </row>
    <row r="328" spans="1:10" x14ac:dyDescent="0.2">
      <c r="A328" s="17">
        <v>2</v>
      </c>
      <c r="B328" s="9">
        <v>3</v>
      </c>
      <c r="C328" s="9">
        <v>9</v>
      </c>
      <c r="D328" s="9">
        <v>9</v>
      </c>
      <c r="E328" s="24" t="s">
        <v>44</v>
      </c>
      <c r="F328" s="10" t="s">
        <v>1</v>
      </c>
      <c r="G328" s="7">
        <f>'CUENTA T FONDO 100'!GA126</f>
        <v>0</v>
      </c>
      <c r="H328" s="7">
        <f>'CUENTA T VS'!GA106</f>
        <v>50620</v>
      </c>
      <c r="I328" s="7">
        <f t="shared" si="14"/>
        <v>50620</v>
      </c>
      <c r="J328" s="6">
        <f>I328/$I$25</f>
        <v>5.036320966809438E-4</v>
      </c>
    </row>
    <row r="329" spans="1:10" x14ac:dyDescent="0.2">
      <c r="A329" s="17">
        <v>2</v>
      </c>
      <c r="B329" s="9">
        <v>3</v>
      </c>
      <c r="C329" s="9">
        <v>9</v>
      </c>
      <c r="D329" s="9">
        <v>9</v>
      </c>
      <c r="E329" s="24" t="s">
        <v>172</v>
      </c>
      <c r="F329" s="10" t="s">
        <v>407</v>
      </c>
      <c r="G329" s="7">
        <f>'CUENTA T FONDO 100'!GB126</f>
        <v>40966.129999999997</v>
      </c>
      <c r="H329" s="7">
        <f>'CUENTA T VS'!GB106</f>
        <v>0</v>
      </c>
      <c r="I329" s="7">
        <f t="shared" si="14"/>
        <v>40966.129999999997</v>
      </c>
      <c r="J329" s="6">
        <f>I329/$I$25</f>
        <v>4.0758312810754865E-4</v>
      </c>
    </row>
    <row r="330" spans="1:10" x14ac:dyDescent="0.2">
      <c r="A330" s="23">
        <v>2</v>
      </c>
      <c r="B330" s="22">
        <v>4</v>
      </c>
      <c r="C330" s="22">
        <v>1</v>
      </c>
      <c r="D330" s="22">
        <v>2</v>
      </c>
      <c r="E330" s="22"/>
      <c r="F330" s="21" t="s">
        <v>176</v>
      </c>
      <c r="G330" s="20">
        <f>G331+G332+G333+G334+G335</f>
        <v>0</v>
      </c>
      <c r="H330" s="20">
        <f>H331+H332+H333+H334+H335</f>
        <v>480808</v>
      </c>
      <c r="I330" s="20">
        <f t="shared" si="14"/>
        <v>480808</v>
      </c>
      <c r="J330" s="19">
        <f>+I330/I25</f>
        <v>4.7836890782491353E-3</v>
      </c>
    </row>
    <row r="331" spans="1:10" x14ac:dyDescent="0.2">
      <c r="A331" s="17">
        <v>2</v>
      </c>
      <c r="B331" s="9">
        <v>4</v>
      </c>
      <c r="C331" s="9">
        <v>1</v>
      </c>
      <c r="D331" s="9">
        <v>2</v>
      </c>
      <c r="E331" s="24" t="s">
        <v>44</v>
      </c>
      <c r="F331" s="10" t="s">
        <v>175</v>
      </c>
      <c r="G331" s="7">
        <f>'CUENTA T FONDO 100'!GC126</f>
        <v>0</v>
      </c>
      <c r="H331" s="7">
        <f>'CUENTA T VS'!GC106</f>
        <v>0</v>
      </c>
      <c r="I331" s="7">
        <f t="shared" si="14"/>
        <v>0</v>
      </c>
      <c r="J331" s="6">
        <f t="shared" ref="J331:J336" si="17">I331/$I$25</f>
        <v>0</v>
      </c>
    </row>
    <row r="332" spans="1:10" x14ac:dyDescent="0.2">
      <c r="A332" s="17">
        <v>2</v>
      </c>
      <c r="B332" s="9">
        <v>4</v>
      </c>
      <c r="C332" s="9">
        <v>1</v>
      </c>
      <c r="D332" s="9">
        <v>2</v>
      </c>
      <c r="E332" s="24" t="s">
        <v>43</v>
      </c>
      <c r="F332" s="10" t="s">
        <v>174</v>
      </c>
      <c r="G332" s="7">
        <f>'CUENTA T FONDO 100'!GD126</f>
        <v>0</v>
      </c>
      <c r="H332" s="7">
        <f>'CUENTA T VS'!GD106</f>
        <v>480808</v>
      </c>
      <c r="I332" s="7">
        <f t="shared" si="14"/>
        <v>480808</v>
      </c>
      <c r="J332" s="6">
        <f t="shared" si="17"/>
        <v>4.7836890782491353E-3</v>
      </c>
    </row>
    <row r="333" spans="1:10" x14ac:dyDescent="0.2">
      <c r="A333" s="17">
        <v>2</v>
      </c>
      <c r="B333" s="9">
        <v>4</v>
      </c>
      <c r="C333" s="9">
        <v>1</v>
      </c>
      <c r="D333" s="9">
        <v>2</v>
      </c>
      <c r="E333" s="24" t="s">
        <v>104</v>
      </c>
      <c r="F333" s="10" t="s">
        <v>173</v>
      </c>
      <c r="G333" s="7">
        <f>'CUENTA T FONDO 100'!GE126</f>
        <v>0</v>
      </c>
      <c r="H333" s="7">
        <f>'CUENTA T VS'!GE106</f>
        <v>0</v>
      </c>
      <c r="I333" s="7">
        <f t="shared" si="14"/>
        <v>0</v>
      </c>
      <c r="J333" s="6">
        <f t="shared" si="17"/>
        <v>0</v>
      </c>
    </row>
    <row r="334" spans="1:10" x14ac:dyDescent="0.2">
      <c r="A334" s="17">
        <v>2</v>
      </c>
      <c r="B334" s="9">
        <v>4</v>
      </c>
      <c r="C334" s="9">
        <v>1</v>
      </c>
      <c r="D334" s="9">
        <v>2</v>
      </c>
      <c r="E334" s="24" t="s">
        <v>172</v>
      </c>
      <c r="F334" s="10" t="s">
        <v>171</v>
      </c>
      <c r="G334" s="7">
        <f>'CUENTA T FONDO 100'!GF126</f>
        <v>0</v>
      </c>
      <c r="H334" s="7">
        <f>'CUENTA T VS'!GF106</f>
        <v>0</v>
      </c>
      <c r="I334" s="7">
        <f t="shared" si="14"/>
        <v>0</v>
      </c>
      <c r="J334" s="6">
        <f t="shared" si="17"/>
        <v>0</v>
      </c>
    </row>
    <row r="335" spans="1:10" x14ac:dyDescent="0.2">
      <c r="A335" s="17">
        <v>2</v>
      </c>
      <c r="B335" s="9">
        <v>4</v>
      </c>
      <c r="C335" s="9">
        <v>1</v>
      </c>
      <c r="D335" s="9">
        <v>2</v>
      </c>
      <c r="E335" s="24" t="s">
        <v>170</v>
      </c>
      <c r="F335" s="10" t="s">
        <v>169</v>
      </c>
      <c r="G335" s="7">
        <f>'CUENTA T FONDO 100'!GG126</f>
        <v>0</v>
      </c>
      <c r="H335" s="7">
        <f>'CUENTA T VS'!GG106</f>
        <v>0</v>
      </c>
      <c r="I335" s="7">
        <f t="shared" si="14"/>
        <v>0</v>
      </c>
      <c r="J335" s="6">
        <f t="shared" si="17"/>
        <v>0</v>
      </c>
    </row>
    <row r="336" spans="1:10" x14ac:dyDescent="0.2">
      <c r="A336" s="23">
        <v>2</v>
      </c>
      <c r="B336" s="22">
        <v>6</v>
      </c>
      <c r="C336" s="22"/>
      <c r="D336" s="22"/>
      <c r="E336" s="22"/>
      <c r="F336" s="21" t="s">
        <v>168</v>
      </c>
      <c r="G336" s="20">
        <f>G337+G348+G357+G366+G383+G400+G405+G424+G446</f>
        <v>6580673.1400000015</v>
      </c>
      <c r="H336" s="20">
        <f>H337+H348+H357+H366+H383+H400+H405+H424+H446</f>
        <v>3927042.19</v>
      </c>
      <c r="I336" s="20">
        <f t="shared" si="14"/>
        <v>10507715.330000002</v>
      </c>
      <c r="J336" s="19">
        <f t="shared" si="17"/>
        <v>0.10454410713106276</v>
      </c>
    </row>
    <row r="337" spans="1:10" x14ac:dyDescent="0.2">
      <c r="A337" s="30">
        <v>2</v>
      </c>
      <c r="B337" s="22">
        <v>6</v>
      </c>
      <c r="C337" s="22">
        <v>1</v>
      </c>
      <c r="D337" s="22"/>
      <c r="E337" s="22"/>
      <c r="F337" s="21" t="s">
        <v>167</v>
      </c>
      <c r="G337" s="20">
        <f>+G338+G340+G342+G344+G346</f>
        <v>231484.25</v>
      </c>
      <c r="H337" s="20">
        <f>+H338+H340+H342+H344+H346</f>
        <v>0</v>
      </c>
      <c r="I337" s="20">
        <f t="shared" si="14"/>
        <v>231484.25</v>
      </c>
      <c r="J337" s="19"/>
    </row>
    <row r="338" spans="1:10" x14ac:dyDescent="0.2">
      <c r="A338" s="16">
        <v>2</v>
      </c>
      <c r="B338" s="15">
        <v>6</v>
      </c>
      <c r="C338" s="15">
        <v>1</v>
      </c>
      <c r="D338" s="15">
        <v>1</v>
      </c>
      <c r="E338" s="15"/>
      <c r="F338" s="13" t="s">
        <v>408</v>
      </c>
      <c r="G338" s="12">
        <f>SUM(G339)</f>
        <v>0</v>
      </c>
      <c r="H338" s="12">
        <f>SUM(H339)</f>
        <v>0</v>
      </c>
      <c r="I338" s="12">
        <f t="shared" si="14"/>
        <v>0</v>
      </c>
      <c r="J338" s="11"/>
    </row>
    <row r="339" spans="1:10" x14ac:dyDescent="0.2">
      <c r="A339" s="10">
        <v>2</v>
      </c>
      <c r="B339" s="9">
        <v>6</v>
      </c>
      <c r="C339" s="9">
        <v>1</v>
      </c>
      <c r="D339" s="9">
        <v>1</v>
      </c>
      <c r="E339" s="24" t="s">
        <v>44</v>
      </c>
      <c r="F339" s="8" t="s">
        <v>408</v>
      </c>
      <c r="G339" s="7">
        <f>'CUENTA T FONDO 100'!GH126</f>
        <v>0</v>
      </c>
      <c r="H339" s="7">
        <f>'CUENTA T VS'!GH106</f>
        <v>0</v>
      </c>
      <c r="I339" s="7">
        <f t="shared" si="14"/>
        <v>0</v>
      </c>
      <c r="J339" s="6">
        <f>I339/$I$25</f>
        <v>0</v>
      </c>
    </row>
    <row r="340" spans="1:10" ht="25.5" x14ac:dyDescent="0.2">
      <c r="A340" s="16">
        <v>2</v>
      </c>
      <c r="B340" s="15">
        <v>6</v>
      </c>
      <c r="C340" s="15">
        <v>1</v>
      </c>
      <c r="D340" s="15">
        <v>2</v>
      </c>
      <c r="E340" s="15"/>
      <c r="F340" s="13" t="s">
        <v>166</v>
      </c>
      <c r="G340" s="12">
        <f>SUM(G341)</f>
        <v>0</v>
      </c>
      <c r="H340" s="12">
        <f>SUM(H341)</f>
        <v>0</v>
      </c>
      <c r="I340" s="12">
        <f t="shared" si="14"/>
        <v>0</v>
      </c>
      <c r="J340" s="11"/>
    </row>
    <row r="341" spans="1:10" ht="25.5" x14ac:dyDescent="0.2">
      <c r="A341" s="10">
        <v>2</v>
      </c>
      <c r="B341" s="9">
        <v>6</v>
      </c>
      <c r="C341" s="9">
        <v>1</v>
      </c>
      <c r="D341" s="9">
        <v>2</v>
      </c>
      <c r="E341" s="24" t="s">
        <v>44</v>
      </c>
      <c r="F341" s="8" t="s">
        <v>166</v>
      </c>
      <c r="G341" s="7">
        <f>'CUENTA T FONDO 100'!GI126</f>
        <v>0</v>
      </c>
      <c r="H341" s="7">
        <f>'CUENTA T VS'!GI106</f>
        <v>0</v>
      </c>
      <c r="I341" s="7">
        <f t="shared" si="14"/>
        <v>0</v>
      </c>
      <c r="J341" s="6">
        <f>I341/$I$25</f>
        <v>0</v>
      </c>
    </row>
    <row r="342" spans="1:10" ht="25.5" x14ac:dyDescent="0.2">
      <c r="A342" s="16">
        <v>2</v>
      </c>
      <c r="B342" s="15">
        <v>6</v>
      </c>
      <c r="C342" s="15">
        <v>1</v>
      </c>
      <c r="D342" s="15">
        <v>3</v>
      </c>
      <c r="E342" s="15"/>
      <c r="F342" s="13" t="s">
        <v>409</v>
      </c>
      <c r="G342" s="12">
        <f>SUM(G343)</f>
        <v>40572.730000000003</v>
      </c>
      <c r="H342" s="12">
        <f>SUM(H343)</f>
        <v>0</v>
      </c>
      <c r="I342" s="12">
        <f t="shared" si="14"/>
        <v>40572.730000000003</v>
      </c>
      <c r="J342" s="11"/>
    </row>
    <row r="343" spans="1:10" ht="25.5" x14ac:dyDescent="0.2">
      <c r="A343" s="10">
        <v>2</v>
      </c>
      <c r="B343" s="9">
        <v>6</v>
      </c>
      <c r="C343" s="9">
        <v>1</v>
      </c>
      <c r="D343" s="9">
        <v>3</v>
      </c>
      <c r="E343" s="24" t="s">
        <v>44</v>
      </c>
      <c r="F343" s="8" t="s">
        <v>409</v>
      </c>
      <c r="G343" s="7">
        <f>'CUENTA T FONDO 100'!GJ126</f>
        <v>40572.730000000003</v>
      </c>
      <c r="H343" s="7">
        <f>'CUENTA T VS'!GJ106</f>
        <v>0</v>
      </c>
      <c r="I343" s="7">
        <f t="shared" si="14"/>
        <v>40572.730000000003</v>
      </c>
      <c r="J343" s="6">
        <f>I343/$I$25</f>
        <v>4.0366908490655537E-4</v>
      </c>
    </row>
    <row r="344" spans="1:10" x14ac:dyDescent="0.2">
      <c r="A344" s="16">
        <v>2</v>
      </c>
      <c r="B344" s="15">
        <v>6</v>
      </c>
      <c r="C344" s="15">
        <v>1</v>
      </c>
      <c r="D344" s="15">
        <v>4</v>
      </c>
      <c r="E344" s="15"/>
      <c r="F344" s="13" t="s">
        <v>165</v>
      </c>
      <c r="G344" s="12">
        <f>SUM(G345)</f>
        <v>118194.26</v>
      </c>
      <c r="H344" s="12">
        <f>SUM(H345)</f>
        <v>0</v>
      </c>
      <c r="I344" s="12">
        <f t="shared" si="14"/>
        <v>118194.26</v>
      </c>
      <c r="J344" s="11"/>
    </row>
    <row r="345" spans="1:10" x14ac:dyDescent="0.2">
      <c r="A345" s="10">
        <v>2</v>
      </c>
      <c r="B345" s="9">
        <v>6</v>
      </c>
      <c r="C345" s="9">
        <v>1</v>
      </c>
      <c r="D345" s="9">
        <v>4</v>
      </c>
      <c r="E345" s="24" t="s">
        <v>44</v>
      </c>
      <c r="F345" s="8" t="s">
        <v>165</v>
      </c>
      <c r="G345" s="7">
        <f>'CUENTA T FONDO 100'!GK126</f>
        <v>118194.26</v>
      </c>
      <c r="H345" s="7">
        <f>'CUENTA T VS'!GK106</f>
        <v>0</v>
      </c>
      <c r="I345" s="7">
        <f t="shared" ref="I345:I408" si="18">SUM(G345:H345)</f>
        <v>118194.26</v>
      </c>
      <c r="J345" s="6">
        <f>I345/$I$25</f>
        <v>1.1759467202578549E-3</v>
      </c>
    </row>
    <row r="346" spans="1:10" ht="25.5" x14ac:dyDescent="0.2">
      <c r="A346" s="16">
        <v>2</v>
      </c>
      <c r="B346" s="15">
        <v>6</v>
      </c>
      <c r="C346" s="15">
        <v>1</v>
      </c>
      <c r="D346" s="15">
        <v>9</v>
      </c>
      <c r="E346" s="15"/>
      <c r="F346" s="13" t="s">
        <v>164</v>
      </c>
      <c r="G346" s="12">
        <f>SUM(G347)</f>
        <v>72717.259999999995</v>
      </c>
      <c r="H346" s="12">
        <f>SUM(H347)</f>
        <v>0</v>
      </c>
      <c r="I346" s="12">
        <f t="shared" si="18"/>
        <v>72717.259999999995</v>
      </c>
      <c r="J346" s="11"/>
    </row>
    <row r="347" spans="1:10" ht="25.5" x14ac:dyDescent="0.2">
      <c r="A347" s="10">
        <v>2</v>
      </c>
      <c r="B347" s="9">
        <v>6</v>
      </c>
      <c r="C347" s="9">
        <v>1</v>
      </c>
      <c r="D347" s="9">
        <v>9</v>
      </c>
      <c r="E347" s="24" t="s">
        <v>44</v>
      </c>
      <c r="F347" s="8" t="s">
        <v>164</v>
      </c>
      <c r="G347" s="7">
        <f>'CUENTA T FONDO 100'!GL126</f>
        <v>72717.259999999995</v>
      </c>
      <c r="H347" s="7">
        <f>'CUENTA T VS'!GL106</f>
        <v>0</v>
      </c>
      <c r="I347" s="7">
        <f t="shared" si="18"/>
        <v>72717.259999999995</v>
      </c>
      <c r="J347" s="6">
        <f>I347/$I$25</f>
        <v>7.2348372419386267E-4</v>
      </c>
    </row>
    <row r="348" spans="1:10" x14ac:dyDescent="0.2">
      <c r="A348" s="32">
        <v>2</v>
      </c>
      <c r="B348" s="32">
        <v>6</v>
      </c>
      <c r="C348" s="32">
        <v>2</v>
      </c>
      <c r="D348" s="32"/>
      <c r="E348" s="32"/>
      <c r="F348" s="31" t="s">
        <v>411</v>
      </c>
      <c r="G348" s="20">
        <f>+G349+G351+G353+G355</f>
        <v>182926.74</v>
      </c>
      <c r="H348" s="20">
        <f>+H349+H351+H353+H355</f>
        <v>0</v>
      </c>
      <c r="I348" s="20">
        <f t="shared" si="18"/>
        <v>182926.74</v>
      </c>
      <c r="J348" s="19"/>
    </row>
    <row r="349" spans="1:10" x14ac:dyDescent="0.2">
      <c r="A349" s="18">
        <v>2</v>
      </c>
      <c r="B349" s="15">
        <v>6</v>
      </c>
      <c r="C349" s="15">
        <v>2</v>
      </c>
      <c r="D349" s="15">
        <v>1</v>
      </c>
      <c r="E349" s="14"/>
      <c r="F349" s="13" t="s">
        <v>163</v>
      </c>
      <c r="G349" s="12">
        <f>SUM(G350)</f>
        <v>47202.36</v>
      </c>
      <c r="H349" s="12">
        <f>SUM(H350)</f>
        <v>0</v>
      </c>
      <c r="I349" s="12">
        <f t="shared" si="18"/>
        <v>47202.36</v>
      </c>
      <c r="J349" s="11"/>
    </row>
    <row r="350" spans="1:10" x14ac:dyDescent="0.2">
      <c r="A350" s="17">
        <v>2</v>
      </c>
      <c r="B350" s="9">
        <v>6</v>
      </c>
      <c r="C350" s="9">
        <v>2</v>
      </c>
      <c r="D350" s="9">
        <v>1</v>
      </c>
      <c r="E350" s="24" t="s">
        <v>44</v>
      </c>
      <c r="F350" s="8" t="s">
        <v>163</v>
      </c>
      <c r="G350" s="7">
        <f>'CUENTA T FONDO 100'!GM126</f>
        <v>47202.36</v>
      </c>
      <c r="H350" s="7">
        <f>'CUENTA T VS'!GM106</f>
        <v>0</v>
      </c>
      <c r="I350" s="7">
        <f t="shared" si="18"/>
        <v>47202.36</v>
      </c>
      <c r="J350" s="6">
        <f>I350/$I$25</f>
        <v>4.6962907023091104E-4</v>
      </c>
    </row>
    <row r="351" spans="1:10" x14ac:dyDescent="0.2">
      <c r="A351" s="18">
        <v>2</v>
      </c>
      <c r="B351" s="15">
        <v>6</v>
      </c>
      <c r="C351" s="15">
        <v>2</v>
      </c>
      <c r="D351" s="15">
        <v>2</v>
      </c>
      <c r="E351" s="14"/>
      <c r="F351" s="13" t="s">
        <v>162</v>
      </c>
      <c r="G351" s="12">
        <f>SUM(G352)</f>
        <v>0</v>
      </c>
      <c r="H351" s="12">
        <f>SUM(H352)</f>
        <v>0</v>
      </c>
      <c r="I351" s="12">
        <f t="shared" si="18"/>
        <v>0</v>
      </c>
      <c r="J351" s="11"/>
    </row>
    <row r="352" spans="1:10" x14ac:dyDescent="0.2">
      <c r="A352" s="17">
        <v>2</v>
      </c>
      <c r="B352" s="9">
        <v>6</v>
      </c>
      <c r="C352" s="9">
        <v>2</v>
      </c>
      <c r="D352" s="9">
        <v>2</v>
      </c>
      <c r="E352" s="24" t="s">
        <v>44</v>
      </c>
      <c r="F352" s="8" t="s">
        <v>162</v>
      </c>
      <c r="G352" s="7">
        <f>'CUENTA T FONDO 100'!GN126</f>
        <v>0</v>
      </c>
      <c r="H352" s="7">
        <f>'CUENTA T VS'!GN106</f>
        <v>0</v>
      </c>
      <c r="I352" s="7">
        <f t="shared" si="18"/>
        <v>0</v>
      </c>
      <c r="J352" s="6">
        <f>I352/$I$25</f>
        <v>0</v>
      </c>
    </row>
    <row r="353" spans="1:10" x14ac:dyDescent="0.2">
      <c r="A353" s="18">
        <v>2</v>
      </c>
      <c r="B353" s="15">
        <v>6</v>
      </c>
      <c r="C353" s="15">
        <v>2</v>
      </c>
      <c r="D353" s="15">
        <v>3</v>
      </c>
      <c r="E353" s="14"/>
      <c r="F353" s="13" t="s">
        <v>161</v>
      </c>
      <c r="G353" s="12">
        <f>SUM(G354)</f>
        <v>0</v>
      </c>
      <c r="H353" s="12">
        <f>SUM(H354)</f>
        <v>0</v>
      </c>
      <c r="I353" s="12">
        <f t="shared" si="18"/>
        <v>0</v>
      </c>
      <c r="J353" s="11"/>
    </row>
    <row r="354" spans="1:10" x14ac:dyDescent="0.2">
      <c r="A354" s="17">
        <v>2</v>
      </c>
      <c r="B354" s="9">
        <v>6</v>
      </c>
      <c r="C354" s="9">
        <v>2</v>
      </c>
      <c r="D354" s="9">
        <v>3</v>
      </c>
      <c r="E354" s="24" t="s">
        <v>44</v>
      </c>
      <c r="F354" s="8" t="s">
        <v>161</v>
      </c>
      <c r="G354" s="7">
        <f>'CUENTA T FONDO 100'!GO126</f>
        <v>0</v>
      </c>
      <c r="H354" s="7">
        <f>'CUENTA T VS'!GO106</f>
        <v>0</v>
      </c>
      <c r="I354" s="7">
        <f t="shared" si="18"/>
        <v>0</v>
      </c>
      <c r="J354" s="6">
        <f>I354/$I$25</f>
        <v>0</v>
      </c>
    </row>
    <row r="355" spans="1:10" x14ac:dyDescent="0.2">
      <c r="A355" s="18">
        <v>2</v>
      </c>
      <c r="B355" s="15">
        <v>6</v>
      </c>
      <c r="C355" s="15">
        <v>2</v>
      </c>
      <c r="D355" s="15">
        <v>4</v>
      </c>
      <c r="E355" s="14"/>
      <c r="F355" s="13" t="s">
        <v>410</v>
      </c>
      <c r="G355" s="12">
        <f>SUM(G356)</f>
        <v>135724.38</v>
      </c>
      <c r="H355" s="12">
        <f>SUM(H356)</f>
        <v>0</v>
      </c>
      <c r="I355" s="12">
        <f t="shared" si="18"/>
        <v>135724.38</v>
      </c>
      <c r="J355" s="11"/>
    </row>
    <row r="356" spans="1:10" x14ac:dyDescent="0.2">
      <c r="A356" s="17">
        <v>2</v>
      </c>
      <c r="B356" s="9">
        <v>6</v>
      </c>
      <c r="C356" s="9">
        <v>2</v>
      </c>
      <c r="D356" s="9">
        <v>4</v>
      </c>
      <c r="E356" s="24" t="s">
        <v>44</v>
      </c>
      <c r="F356" s="8" t="s">
        <v>410</v>
      </c>
      <c r="G356" s="7">
        <f>'CUENTA T FONDO 100'!GP126</f>
        <v>135724.38</v>
      </c>
      <c r="H356" s="7">
        <f>'CUENTA T VS'!GP106</f>
        <v>0</v>
      </c>
      <c r="I356" s="7">
        <f t="shared" si="18"/>
        <v>135724.38</v>
      </c>
      <c r="J356" s="6">
        <f>I356/$I$25</f>
        <v>1.3503586343366488E-3</v>
      </c>
    </row>
    <row r="357" spans="1:10" x14ac:dyDescent="0.2">
      <c r="A357" s="32">
        <v>2</v>
      </c>
      <c r="B357" s="32">
        <v>6</v>
      </c>
      <c r="C357" s="32">
        <v>3</v>
      </c>
      <c r="D357" s="32"/>
      <c r="E357" s="32"/>
      <c r="F357" s="31" t="s">
        <v>160</v>
      </c>
      <c r="G357" s="20">
        <f>+G358+G360+G362+G364</f>
        <v>2285211.66</v>
      </c>
      <c r="H357" s="20">
        <f>+H358+H360+H362+H364</f>
        <v>3927042.19</v>
      </c>
      <c r="I357" s="20">
        <f t="shared" si="18"/>
        <v>6212253.8499999996</v>
      </c>
      <c r="J357" s="19"/>
    </row>
    <row r="358" spans="1:10" x14ac:dyDescent="0.2">
      <c r="A358" s="18">
        <v>2</v>
      </c>
      <c r="B358" s="15">
        <v>6</v>
      </c>
      <c r="C358" s="15">
        <v>3</v>
      </c>
      <c r="D358" s="15">
        <v>1</v>
      </c>
      <c r="E358" s="14"/>
      <c r="F358" s="13" t="s">
        <v>159</v>
      </c>
      <c r="G358" s="12">
        <f>SUM(G359)</f>
        <v>679653.51</v>
      </c>
      <c r="H358" s="12">
        <f>SUM(H359)</f>
        <v>0</v>
      </c>
      <c r="I358" s="12">
        <f t="shared" si="18"/>
        <v>679653.51</v>
      </c>
      <c r="J358" s="11"/>
    </row>
    <row r="359" spans="1:10" x14ac:dyDescent="0.2">
      <c r="A359" s="17">
        <v>2</v>
      </c>
      <c r="B359" s="9">
        <v>6</v>
      </c>
      <c r="C359" s="9">
        <v>3</v>
      </c>
      <c r="D359" s="9">
        <v>1</v>
      </c>
      <c r="E359" s="24" t="s">
        <v>44</v>
      </c>
      <c r="F359" s="8" t="s">
        <v>159</v>
      </c>
      <c r="G359" s="7">
        <f>'CUENTA T FONDO 100'!GQ126</f>
        <v>679653.51</v>
      </c>
      <c r="H359" s="7">
        <f>'CUENTA T VS'!GQ106</f>
        <v>0</v>
      </c>
      <c r="I359" s="7">
        <f t="shared" si="18"/>
        <v>679653.51</v>
      </c>
      <c r="J359" s="6">
        <f>I359/$I$25</f>
        <v>6.7620569391122643E-3</v>
      </c>
    </row>
    <row r="360" spans="1:10" x14ac:dyDescent="0.2">
      <c r="A360" s="18">
        <v>2</v>
      </c>
      <c r="B360" s="15">
        <v>6</v>
      </c>
      <c r="C360" s="15">
        <v>3</v>
      </c>
      <c r="D360" s="15">
        <v>2</v>
      </c>
      <c r="E360" s="14"/>
      <c r="F360" s="13" t="s">
        <v>158</v>
      </c>
      <c r="G360" s="12">
        <f>SUM(G361)</f>
        <v>1605558.15</v>
      </c>
      <c r="H360" s="12">
        <f>SUM(H361)</f>
        <v>2221942.19</v>
      </c>
      <c r="I360" s="12">
        <f t="shared" si="18"/>
        <v>3827500.34</v>
      </c>
      <c r="J360" s="11"/>
    </row>
    <row r="361" spans="1:10" x14ac:dyDescent="0.2">
      <c r="A361" s="17">
        <v>2</v>
      </c>
      <c r="B361" s="9">
        <v>6</v>
      </c>
      <c r="C361" s="9">
        <v>3</v>
      </c>
      <c r="D361" s="9">
        <v>2</v>
      </c>
      <c r="E361" s="24" t="s">
        <v>44</v>
      </c>
      <c r="F361" s="8" t="s">
        <v>158</v>
      </c>
      <c r="G361" s="7">
        <f>'CUENTA T FONDO 100'!GR126</f>
        <v>1605558.15</v>
      </c>
      <c r="H361" s="7">
        <f>'CUENTA T VS'!GR106</f>
        <v>2221942.19</v>
      </c>
      <c r="I361" s="7">
        <f t="shared" si="18"/>
        <v>3827500.34</v>
      </c>
      <c r="J361" s="6">
        <f>I361/$I$25</f>
        <v>3.8080838034002869E-2</v>
      </c>
    </row>
    <row r="362" spans="1:10" x14ac:dyDescent="0.2">
      <c r="A362" s="18">
        <v>2</v>
      </c>
      <c r="B362" s="15">
        <v>6</v>
      </c>
      <c r="C362" s="15">
        <v>3</v>
      </c>
      <c r="D362" s="15">
        <v>3</v>
      </c>
      <c r="E362" s="14"/>
      <c r="F362" s="13" t="s">
        <v>157</v>
      </c>
      <c r="G362" s="12">
        <f>SUM(G363)</f>
        <v>0</v>
      </c>
      <c r="H362" s="12">
        <f>SUM(H363)</f>
        <v>0</v>
      </c>
      <c r="I362" s="12">
        <f t="shared" si="18"/>
        <v>0</v>
      </c>
      <c r="J362" s="11"/>
    </row>
    <row r="363" spans="1:10" x14ac:dyDescent="0.2">
      <c r="A363" s="17">
        <v>2</v>
      </c>
      <c r="B363" s="9">
        <v>6</v>
      </c>
      <c r="C363" s="9">
        <v>3</v>
      </c>
      <c r="D363" s="9">
        <v>3</v>
      </c>
      <c r="E363" s="24" t="s">
        <v>44</v>
      </c>
      <c r="F363" s="8" t="s">
        <v>157</v>
      </c>
      <c r="G363" s="7">
        <f>'CUENTA T FONDO 100'!GS126</f>
        <v>0</v>
      </c>
      <c r="H363" s="7">
        <f>'CUENTA T VS'!GS106</f>
        <v>0</v>
      </c>
      <c r="I363" s="7">
        <f t="shared" si="18"/>
        <v>0</v>
      </c>
      <c r="J363" s="6">
        <f>I363/$I$25</f>
        <v>0</v>
      </c>
    </row>
    <row r="364" spans="1:10" x14ac:dyDescent="0.2">
      <c r="A364" s="18">
        <v>2</v>
      </c>
      <c r="B364" s="15">
        <v>6</v>
      </c>
      <c r="C364" s="15">
        <v>3</v>
      </c>
      <c r="D364" s="15">
        <v>4</v>
      </c>
      <c r="E364" s="15"/>
      <c r="F364" s="13" t="s">
        <v>412</v>
      </c>
      <c r="G364" s="12">
        <f>+G365</f>
        <v>0</v>
      </c>
      <c r="H364" s="12">
        <f>+H365</f>
        <v>1705100</v>
      </c>
      <c r="I364" s="12">
        <f t="shared" si="18"/>
        <v>1705100</v>
      </c>
      <c r="J364" s="11"/>
    </row>
    <row r="365" spans="1:10" x14ac:dyDescent="0.2">
      <c r="A365" s="17">
        <v>2</v>
      </c>
      <c r="B365" s="9">
        <v>6</v>
      </c>
      <c r="C365" s="9">
        <v>3</v>
      </c>
      <c r="D365" s="9">
        <v>4</v>
      </c>
      <c r="E365" s="24" t="s">
        <v>44</v>
      </c>
      <c r="F365" s="8" t="s">
        <v>412</v>
      </c>
      <c r="G365" s="7">
        <f>'CUENTA T FONDO 100'!GT126</f>
        <v>0</v>
      </c>
      <c r="H365" s="7">
        <f>'CUENTA T VS'!GT106</f>
        <v>1705100</v>
      </c>
      <c r="I365" s="7">
        <f t="shared" si="18"/>
        <v>1705100</v>
      </c>
      <c r="J365" s="6">
        <f>I365/$I$25</f>
        <v>1.6964501936994811E-2</v>
      </c>
    </row>
    <row r="366" spans="1:10" x14ac:dyDescent="0.2">
      <c r="A366" s="30">
        <v>2</v>
      </c>
      <c r="B366" s="22">
        <v>6</v>
      </c>
      <c r="C366" s="22">
        <v>4</v>
      </c>
      <c r="D366" s="22"/>
      <c r="E366" s="29"/>
      <c r="F366" s="21" t="s">
        <v>156</v>
      </c>
      <c r="G366" s="20">
        <f>+G367+G369+G371+G373+G375+G377+G379+G381</f>
        <v>0</v>
      </c>
      <c r="H366" s="20">
        <f>+H367+H369+H371+H373+H375+H377+H379+H381</f>
        <v>0</v>
      </c>
      <c r="I366" s="20">
        <f t="shared" si="18"/>
        <v>0</v>
      </c>
      <c r="J366" s="19"/>
    </row>
    <row r="367" spans="1:10" x14ac:dyDescent="0.2">
      <c r="A367" s="18">
        <v>2</v>
      </c>
      <c r="B367" s="15">
        <v>6</v>
      </c>
      <c r="C367" s="15">
        <v>4</v>
      </c>
      <c r="D367" s="15">
        <v>1</v>
      </c>
      <c r="E367" s="15"/>
      <c r="F367" s="13" t="s">
        <v>155</v>
      </c>
      <c r="G367" s="12">
        <f>SUM(G368)</f>
        <v>0</v>
      </c>
      <c r="H367" s="12">
        <f>SUM(H368)</f>
        <v>0</v>
      </c>
      <c r="I367" s="12">
        <f t="shared" si="18"/>
        <v>0</v>
      </c>
      <c r="J367" s="11"/>
    </row>
    <row r="368" spans="1:10" x14ac:dyDescent="0.2">
      <c r="A368" s="17">
        <v>2</v>
      </c>
      <c r="B368" s="9">
        <v>6</v>
      </c>
      <c r="C368" s="9">
        <v>4</v>
      </c>
      <c r="D368" s="9">
        <v>1</v>
      </c>
      <c r="E368" s="24" t="s">
        <v>44</v>
      </c>
      <c r="F368" s="8" t="s">
        <v>155</v>
      </c>
      <c r="G368" s="7">
        <f>'CUENTA T FONDO 100'!GU126</f>
        <v>0</v>
      </c>
      <c r="H368" s="7">
        <f>'CUENTA T VS'!GU106</f>
        <v>0</v>
      </c>
      <c r="I368" s="7">
        <f t="shared" si="18"/>
        <v>0</v>
      </c>
      <c r="J368" s="6">
        <f>I368/$I$25</f>
        <v>0</v>
      </c>
    </row>
    <row r="369" spans="1:10" x14ac:dyDescent="0.2">
      <c r="A369" s="18">
        <v>2</v>
      </c>
      <c r="B369" s="15">
        <v>6</v>
      </c>
      <c r="C369" s="15">
        <v>4</v>
      </c>
      <c r="D369" s="15">
        <v>2</v>
      </c>
      <c r="E369" s="15"/>
      <c r="F369" s="13" t="s">
        <v>154</v>
      </c>
      <c r="G369" s="12">
        <f>SUM(G370)</f>
        <v>0</v>
      </c>
      <c r="H369" s="12">
        <f>SUM(H370)</f>
        <v>0</v>
      </c>
      <c r="I369" s="12">
        <f t="shared" si="18"/>
        <v>0</v>
      </c>
      <c r="J369" s="11"/>
    </row>
    <row r="370" spans="1:10" x14ac:dyDescent="0.2">
      <c r="A370" s="17">
        <v>2</v>
      </c>
      <c r="B370" s="9">
        <v>6</v>
      </c>
      <c r="C370" s="9">
        <v>4</v>
      </c>
      <c r="D370" s="9">
        <v>2</v>
      </c>
      <c r="E370" s="24" t="s">
        <v>44</v>
      </c>
      <c r="F370" s="8" t="s">
        <v>154</v>
      </c>
      <c r="G370" s="7">
        <f>'CUENTA T FONDO 100'!GV126</f>
        <v>0</v>
      </c>
      <c r="H370" s="7">
        <f>'CUENTA T VS'!GV106</f>
        <v>0</v>
      </c>
      <c r="I370" s="7">
        <f t="shared" si="18"/>
        <v>0</v>
      </c>
      <c r="J370" s="6">
        <f>I370/$I$25</f>
        <v>0</v>
      </c>
    </row>
    <row r="371" spans="1:10" x14ac:dyDescent="0.2">
      <c r="A371" s="18">
        <v>2</v>
      </c>
      <c r="B371" s="15">
        <v>6</v>
      </c>
      <c r="C371" s="15">
        <v>4</v>
      </c>
      <c r="D371" s="15">
        <v>3</v>
      </c>
      <c r="E371" s="15"/>
      <c r="F371" s="13" t="s">
        <v>153</v>
      </c>
      <c r="G371" s="12">
        <f>SUM(G372)</f>
        <v>0</v>
      </c>
      <c r="H371" s="12">
        <f>SUM(H372)</f>
        <v>0</v>
      </c>
      <c r="I371" s="12">
        <f t="shared" si="18"/>
        <v>0</v>
      </c>
      <c r="J371" s="11"/>
    </row>
    <row r="372" spans="1:10" x14ac:dyDescent="0.2">
      <c r="A372" s="17">
        <v>2</v>
      </c>
      <c r="B372" s="9">
        <v>6</v>
      </c>
      <c r="C372" s="9">
        <v>4</v>
      </c>
      <c r="D372" s="9">
        <v>3</v>
      </c>
      <c r="E372" s="24" t="s">
        <v>44</v>
      </c>
      <c r="F372" s="8" t="s">
        <v>153</v>
      </c>
      <c r="G372" s="7">
        <f>'CUENTA T FONDO 100'!GW126</f>
        <v>0</v>
      </c>
      <c r="H372" s="7">
        <f>'CUENTA T VS'!GX106</f>
        <v>0</v>
      </c>
      <c r="I372" s="7">
        <f t="shared" si="18"/>
        <v>0</v>
      </c>
      <c r="J372" s="6">
        <f>I372/$I$25</f>
        <v>0</v>
      </c>
    </row>
    <row r="373" spans="1:10" x14ac:dyDescent="0.2">
      <c r="A373" s="18">
        <v>2</v>
      </c>
      <c r="B373" s="15">
        <v>6</v>
      </c>
      <c r="C373" s="15">
        <v>4</v>
      </c>
      <c r="D373" s="15">
        <v>4</v>
      </c>
      <c r="E373" s="15"/>
      <c r="F373" s="13" t="s">
        <v>152</v>
      </c>
      <c r="G373" s="12">
        <f>SUM(G374)</f>
        <v>0</v>
      </c>
      <c r="H373" s="12">
        <f>SUM(H374)</f>
        <v>0</v>
      </c>
      <c r="I373" s="12">
        <f t="shared" si="18"/>
        <v>0</v>
      </c>
      <c r="J373" s="11"/>
    </row>
    <row r="374" spans="1:10" x14ac:dyDescent="0.2">
      <c r="A374" s="17">
        <v>2</v>
      </c>
      <c r="B374" s="9">
        <v>6</v>
      </c>
      <c r="C374" s="9">
        <v>4</v>
      </c>
      <c r="D374" s="9">
        <v>4</v>
      </c>
      <c r="E374" s="24" t="s">
        <v>44</v>
      </c>
      <c r="F374" s="8" t="s">
        <v>152</v>
      </c>
      <c r="G374" s="7">
        <f>'CUENTA T FONDO 100'!GX126</f>
        <v>0</v>
      </c>
      <c r="H374" s="7">
        <f>'CUENTA T VS'!GX106</f>
        <v>0</v>
      </c>
      <c r="I374" s="7">
        <f t="shared" si="18"/>
        <v>0</v>
      </c>
      <c r="J374" s="6">
        <f>I374/$I$25</f>
        <v>0</v>
      </c>
    </row>
    <row r="375" spans="1:10" x14ac:dyDescent="0.2">
      <c r="A375" s="18">
        <v>2</v>
      </c>
      <c r="B375" s="15">
        <v>6</v>
      </c>
      <c r="C375" s="15">
        <v>4</v>
      </c>
      <c r="D375" s="15">
        <v>5</v>
      </c>
      <c r="E375" s="15"/>
      <c r="F375" s="13" t="s">
        <v>151</v>
      </c>
      <c r="G375" s="12">
        <f>SUM(G376)</f>
        <v>0</v>
      </c>
      <c r="H375" s="12">
        <f>SUM(H376)</f>
        <v>0</v>
      </c>
      <c r="I375" s="12">
        <f t="shared" si="18"/>
        <v>0</v>
      </c>
      <c r="J375" s="11"/>
    </row>
    <row r="376" spans="1:10" x14ac:dyDescent="0.2">
      <c r="A376" s="17">
        <v>2</v>
      </c>
      <c r="B376" s="9">
        <v>6</v>
      </c>
      <c r="C376" s="9">
        <v>4</v>
      </c>
      <c r="D376" s="9">
        <v>5</v>
      </c>
      <c r="E376" s="24" t="s">
        <v>44</v>
      </c>
      <c r="F376" s="8" t="s">
        <v>151</v>
      </c>
      <c r="G376" s="7">
        <f>'CUENTA T FONDO 100'!GY126</f>
        <v>0</v>
      </c>
      <c r="H376" s="7">
        <f>'CUENTA T VS'!GY106</f>
        <v>0</v>
      </c>
      <c r="I376" s="7">
        <f t="shared" si="18"/>
        <v>0</v>
      </c>
      <c r="J376" s="6">
        <f>I376/$I$25</f>
        <v>0</v>
      </c>
    </row>
    <row r="377" spans="1:10" x14ac:dyDescent="0.2">
      <c r="A377" s="18">
        <v>2</v>
      </c>
      <c r="B377" s="15">
        <v>6</v>
      </c>
      <c r="C377" s="15">
        <v>4</v>
      </c>
      <c r="D377" s="15">
        <v>6</v>
      </c>
      <c r="E377" s="15"/>
      <c r="F377" s="13" t="s">
        <v>150</v>
      </c>
      <c r="G377" s="12">
        <f>SUM(G378)</f>
        <v>0</v>
      </c>
      <c r="H377" s="12">
        <f>SUM(H378)</f>
        <v>0</v>
      </c>
      <c r="I377" s="12">
        <f t="shared" si="18"/>
        <v>0</v>
      </c>
      <c r="J377" s="11"/>
    </row>
    <row r="378" spans="1:10" x14ac:dyDescent="0.2">
      <c r="A378" s="17">
        <v>2</v>
      </c>
      <c r="B378" s="9">
        <v>6</v>
      </c>
      <c r="C378" s="9">
        <v>4</v>
      </c>
      <c r="D378" s="9">
        <v>6</v>
      </c>
      <c r="E378" s="24" t="s">
        <v>44</v>
      </c>
      <c r="F378" s="8" t="s">
        <v>150</v>
      </c>
      <c r="G378" s="7">
        <f>'CUENTA T FONDO 100'!GZ126</f>
        <v>0</v>
      </c>
      <c r="H378" s="7">
        <f>'CUENTA T VS'!GZ106</f>
        <v>0</v>
      </c>
      <c r="I378" s="7">
        <f t="shared" si="18"/>
        <v>0</v>
      </c>
      <c r="J378" s="6">
        <f>I378/$I$25</f>
        <v>0</v>
      </c>
    </row>
    <row r="379" spans="1:10" x14ac:dyDescent="0.2">
      <c r="A379" s="18">
        <v>2</v>
      </c>
      <c r="B379" s="15">
        <v>6</v>
      </c>
      <c r="C379" s="15">
        <v>4</v>
      </c>
      <c r="D379" s="15">
        <v>7</v>
      </c>
      <c r="E379" s="15"/>
      <c r="F379" s="13" t="s">
        <v>149</v>
      </c>
      <c r="G379" s="12">
        <f>SUM(G380)</f>
        <v>0</v>
      </c>
      <c r="H379" s="12">
        <f>SUM(H380)</f>
        <v>0</v>
      </c>
      <c r="I379" s="12">
        <f t="shared" si="18"/>
        <v>0</v>
      </c>
      <c r="J379" s="11"/>
    </row>
    <row r="380" spans="1:10" x14ac:dyDescent="0.2">
      <c r="A380" s="17">
        <v>2</v>
      </c>
      <c r="B380" s="9">
        <v>6</v>
      </c>
      <c r="C380" s="9">
        <v>4</v>
      </c>
      <c r="D380" s="9">
        <v>7</v>
      </c>
      <c r="E380" s="24" t="s">
        <v>44</v>
      </c>
      <c r="F380" s="8" t="s">
        <v>149</v>
      </c>
      <c r="G380" s="7">
        <f>'CUENTA T FONDO 100'!HA126</f>
        <v>0</v>
      </c>
      <c r="H380" s="7">
        <f>'CUENTA T VS'!HA106</f>
        <v>0</v>
      </c>
      <c r="I380" s="7">
        <f t="shared" si="18"/>
        <v>0</v>
      </c>
      <c r="J380" s="6">
        <f>I380/$I$25</f>
        <v>0</v>
      </c>
    </row>
    <row r="381" spans="1:10" x14ac:dyDescent="0.2">
      <c r="A381" s="18">
        <v>2</v>
      </c>
      <c r="B381" s="15">
        <v>6</v>
      </c>
      <c r="C381" s="15">
        <v>4</v>
      </c>
      <c r="D381" s="15">
        <v>8</v>
      </c>
      <c r="E381" s="15"/>
      <c r="F381" s="13" t="s">
        <v>148</v>
      </c>
      <c r="G381" s="12">
        <f>SUM(G382)</f>
        <v>0</v>
      </c>
      <c r="H381" s="12">
        <f>SUM(H382)</f>
        <v>0</v>
      </c>
      <c r="I381" s="12">
        <f t="shared" si="18"/>
        <v>0</v>
      </c>
      <c r="J381" s="11"/>
    </row>
    <row r="382" spans="1:10" x14ac:dyDescent="0.2">
      <c r="A382" s="17">
        <v>2</v>
      </c>
      <c r="B382" s="9">
        <v>6</v>
      </c>
      <c r="C382" s="9">
        <v>4</v>
      </c>
      <c r="D382" s="9">
        <v>8</v>
      </c>
      <c r="E382" s="24" t="s">
        <v>44</v>
      </c>
      <c r="F382" s="8" t="s">
        <v>148</v>
      </c>
      <c r="G382" s="7">
        <f>'CUENTA T FONDO 100'!HB126</f>
        <v>0</v>
      </c>
      <c r="H382" s="7">
        <f>'CUENTA T VS'!HB106</f>
        <v>0</v>
      </c>
      <c r="I382" s="7">
        <f t="shared" si="18"/>
        <v>0</v>
      </c>
      <c r="J382" s="6">
        <f>I382/$I$25</f>
        <v>0</v>
      </c>
    </row>
    <row r="383" spans="1:10" x14ac:dyDescent="0.2">
      <c r="A383" s="30">
        <v>2</v>
      </c>
      <c r="B383" s="22">
        <v>6</v>
      </c>
      <c r="C383" s="22">
        <v>5</v>
      </c>
      <c r="D383" s="22"/>
      <c r="E383" s="29"/>
      <c r="F383" s="21" t="s">
        <v>147</v>
      </c>
      <c r="G383" s="20">
        <f>+G384+G386+G388+G390+G392+G394+G396+G398</f>
        <v>3535489.5500000003</v>
      </c>
      <c r="H383" s="20">
        <f>+H384+H386+H388+H390+H392+H394+H396+H398</f>
        <v>0</v>
      </c>
      <c r="I383" s="20">
        <f t="shared" si="18"/>
        <v>3535489.5500000003</v>
      </c>
      <c r="J383" s="19"/>
    </row>
    <row r="384" spans="1:10" x14ac:dyDescent="0.2">
      <c r="A384" s="16">
        <v>2</v>
      </c>
      <c r="B384" s="15">
        <v>6</v>
      </c>
      <c r="C384" s="15">
        <v>5</v>
      </c>
      <c r="D384" s="15">
        <v>1</v>
      </c>
      <c r="E384" s="15"/>
      <c r="F384" s="13" t="s">
        <v>146</v>
      </c>
      <c r="G384" s="12">
        <f>SUM(G385)</f>
        <v>0</v>
      </c>
      <c r="H384" s="12">
        <f>SUM(H385)</f>
        <v>0</v>
      </c>
      <c r="I384" s="12">
        <f t="shared" si="18"/>
        <v>0</v>
      </c>
      <c r="J384" s="11"/>
    </row>
    <row r="385" spans="1:10" x14ac:dyDescent="0.2">
      <c r="A385" s="10">
        <v>2</v>
      </c>
      <c r="B385" s="9">
        <v>6</v>
      </c>
      <c r="C385" s="9">
        <v>5</v>
      </c>
      <c r="D385" s="9">
        <v>1</v>
      </c>
      <c r="E385" s="24" t="s">
        <v>44</v>
      </c>
      <c r="F385" s="8" t="s">
        <v>146</v>
      </c>
      <c r="G385" s="7">
        <f>'CUENTA T FONDO 100'!HC126</f>
        <v>0</v>
      </c>
      <c r="H385" s="7">
        <f>'CUENTA T VS'!HC106</f>
        <v>0</v>
      </c>
      <c r="I385" s="7">
        <f t="shared" si="18"/>
        <v>0</v>
      </c>
      <c r="J385" s="6">
        <f>I385/$I$25</f>
        <v>0</v>
      </c>
    </row>
    <row r="386" spans="1:10" x14ac:dyDescent="0.2">
      <c r="A386" s="16">
        <v>2</v>
      </c>
      <c r="B386" s="15">
        <v>6</v>
      </c>
      <c r="C386" s="15">
        <v>5</v>
      </c>
      <c r="D386" s="15">
        <v>2</v>
      </c>
      <c r="E386" s="15"/>
      <c r="F386" s="13" t="s">
        <v>145</v>
      </c>
      <c r="G386" s="12">
        <f>SUM(G387)</f>
        <v>15963.52</v>
      </c>
      <c r="H386" s="12">
        <f>SUM(H387)</f>
        <v>0</v>
      </c>
      <c r="I386" s="12">
        <f t="shared" si="18"/>
        <v>15963.52</v>
      </c>
      <c r="J386" s="11"/>
    </row>
    <row r="387" spans="1:10" x14ac:dyDescent="0.2">
      <c r="A387" s="10">
        <v>2</v>
      </c>
      <c r="B387" s="9">
        <v>6</v>
      </c>
      <c r="C387" s="9">
        <v>5</v>
      </c>
      <c r="D387" s="9">
        <v>2</v>
      </c>
      <c r="E387" s="24" t="s">
        <v>44</v>
      </c>
      <c r="F387" s="8" t="s">
        <v>145</v>
      </c>
      <c r="G387" s="7">
        <f>'CUENTA T FONDO 100'!HD126</f>
        <v>15963.52</v>
      </c>
      <c r="H387" s="7">
        <f>'CUENTA T VS'!HD106</f>
        <v>0</v>
      </c>
      <c r="I387" s="7">
        <f t="shared" si="18"/>
        <v>15963.52</v>
      </c>
      <c r="J387" s="6">
        <f>I387/$I$25</f>
        <v>1.5882538617163533E-4</v>
      </c>
    </row>
    <row r="388" spans="1:10" x14ac:dyDescent="0.2">
      <c r="A388" s="16">
        <v>2</v>
      </c>
      <c r="B388" s="15">
        <v>6</v>
      </c>
      <c r="C388" s="15">
        <v>5</v>
      </c>
      <c r="D388" s="15">
        <v>3</v>
      </c>
      <c r="E388" s="15"/>
      <c r="F388" s="13" t="s">
        <v>144</v>
      </c>
      <c r="G388" s="12">
        <f>SUM(G389)</f>
        <v>0</v>
      </c>
      <c r="H388" s="12">
        <f>SUM(H389)</f>
        <v>0</v>
      </c>
      <c r="I388" s="12">
        <f t="shared" si="18"/>
        <v>0</v>
      </c>
      <c r="J388" s="11"/>
    </row>
    <row r="389" spans="1:10" x14ac:dyDescent="0.2">
      <c r="A389" s="10">
        <v>2</v>
      </c>
      <c r="B389" s="9">
        <v>6</v>
      </c>
      <c r="C389" s="9">
        <v>5</v>
      </c>
      <c r="D389" s="9">
        <v>3</v>
      </c>
      <c r="E389" s="24" t="s">
        <v>44</v>
      </c>
      <c r="F389" s="8" t="s">
        <v>144</v>
      </c>
      <c r="G389" s="7">
        <f>'CUENTA T FONDO 100'!HE126</f>
        <v>0</v>
      </c>
      <c r="H389" s="7">
        <f>'CUENTA T VS'!HE106</f>
        <v>0</v>
      </c>
      <c r="I389" s="7">
        <f t="shared" si="18"/>
        <v>0</v>
      </c>
      <c r="J389" s="6">
        <f>I389/$I$25</f>
        <v>0</v>
      </c>
    </row>
    <row r="390" spans="1:10" x14ac:dyDescent="0.2">
      <c r="A390" s="16">
        <v>2</v>
      </c>
      <c r="B390" s="15">
        <v>6</v>
      </c>
      <c r="C390" s="15">
        <v>5</v>
      </c>
      <c r="D390" s="15">
        <v>4</v>
      </c>
      <c r="E390" s="15"/>
      <c r="F390" s="13" t="s">
        <v>413</v>
      </c>
      <c r="G390" s="12">
        <f>SUM(G391)</f>
        <v>3389717.04</v>
      </c>
      <c r="H390" s="12">
        <f>SUM(H391)</f>
        <v>0</v>
      </c>
      <c r="I390" s="12">
        <f t="shared" si="18"/>
        <v>3389717.04</v>
      </c>
      <c r="J390" s="11"/>
    </row>
    <row r="391" spans="1:10" x14ac:dyDescent="0.2">
      <c r="A391" s="10">
        <v>2</v>
      </c>
      <c r="B391" s="9">
        <v>6</v>
      </c>
      <c r="C391" s="9">
        <v>5</v>
      </c>
      <c r="D391" s="9">
        <v>4</v>
      </c>
      <c r="E391" s="24" t="s">
        <v>44</v>
      </c>
      <c r="F391" s="8" t="s">
        <v>413</v>
      </c>
      <c r="G391" s="7">
        <f>'CUENTA T FONDO 100'!HF126</f>
        <v>3389717.04</v>
      </c>
      <c r="H391" s="7">
        <f>'CUENTA T VS'!HF106</f>
        <v>0</v>
      </c>
      <c r="I391" s="7">
        <f t="shared" si="18"/>
        <v>3389717.04</v>
      </c>
      <c r="J391" s="6">
        <f>I391/$I$25</f>
        <v>3.3725213354609297E-2</v>
      </c>
    </row>
    <row r="392" spans="1:10" ht="25.5" x14ac:dyDescent="0.2">
      <c r="A392" s="16">
        <v>2</v>
      </c>
      <c r="B392" s="15">
        <v>6</v>
      </c>
      <c r="C392" s="15">
        <v>5</v>
      </c>
      <c r="D392" s="15">
        <v>5</v>
      </c>
      <c r="E392" s="15"/>
      <c r="F392" s="13" t="s">
        <v>143</v>
      </c>
      <c r="G392" s="12">
        <f>SUM(G393)</f>
        <v>0</v>
      </c>
      <c r="H392" s="12">
        <f>SUM(H393)</f>
        <v>0</v>
      </c>
      <c r="I392" s="12">
        <f t="shared" si="18"/>
        <v>0</v>
      </c>
      <c r="J392" s="11"/>
    </row>
    <row r="393" spans="1:10" ht="25.5" x14ac:dyDescent="0.2">
      <c r="A393" s="10">
        <v>2</v>
      </c>
      <c r="B393" s="9">
        <v>6</v>
      </c>
      <c r="C393" s="9">
        <v>5</v>
      </c>
      <c r="D393" s="9">
        <v>5</v>
      </c>
      <c r="E393" s="24" t="s">
        <v>44</v>
      </c>
      <c r="F393" s="8" t="s">
        <v>143</v>
      </c>
      <c r="G393" s="7">
        <f>'CUENTA T FONDO 100'!HG126</f>
        <v>0</v>
      </c>
      <c r="H393" s="7">
        <f>'CUENTA T VS'!HG106</f>
        <v>0</v>
      </c>
      <c r="I393" s="7">
        <f t="shared" si="18"/>
        <v>0</v>
      </c>
      <c r="J393" s="6">
        <f>I393/$I$25</f>
        <v>0</v>
      </c>
    </row>
    <row r="394" spans="1:10" x14ac:dyDescent="0.2">
      <c r="A394" s="16">
        <v>2</v>
      </c>
      <c r="B394" s="15">
        <v>6</v>
      </c>
      <c r="C394" s="15">
        <v>5</v>
      </c>
      <c r="D394" s="15">
        <v>6</v>
      </c>
      <c r="E394" s="15"/>
      <c r="F394" s="13" t="s">
        <v>414</v>
      </c>
      <c r="G394" s="12">
        <f>SUM(G395)</f>
        <v>0</v>
      </c>
      <c r="H394" s="12">
        <f>SUM(H395)</f>
        <v>0</v>
      </c>
      <c r="I394" s="12">
        <f t="shared" si="18"/>
        <v>0</v>
      </c>
      <c r="J394" s="11"/>
    </row>
    <row r="395" spans="1:10" x14ac:dyDescent="0.2">
      <c r="A395" s="10">
        <v>2</v>
      </c>
      <c r="B395" s="9">
        <v>6</v>
      </c>
      <c r="C395" s="9">
        <v>5</v>
      </c>
      <c r="D395" s="9">
        <v>6</v>
      </c>
      <c r="E395" s="24" t="s">
        <v>44</v>
      </c>
      <c r="F395" s="8" t="s">
        <v>414</v>
      </c>
      <c r="G395" s="7">
        <f>'CUENTA T FONDO 100'!HH126</f>
        <v>0</v>
      </c>
      <c r="H395" s="7">
        <f>'CUENTA T VS'!HH106</f>
        <v>0</v>
      </c>
      <c r="I395" s="7">
        <f t="shared" si="18"/>
        <v>0</v>
      </c>
      <c r="J395" s="6">
        <f>I395/$I$25</f>
        <v>0</v>
      </c>
    </row>
    <row r="396" spans="1:10" x14ac:dyDescent="0.2">
      <c r="A396" s="16">
        <v>2</v>
      </c>
      <c r="B396" s="15">
        <v>6</v>
      </c>
      <c r="C396" s="15">
        <v>5</v>
      </c>
      <c r="D396" s="15">
        <v>7</v>
      </c>
      <c r="E396" s="15"/>
      <c r="F396" s="13" t="s">
        <v>415</v>
      </c>
      <c r="G396" s="12">
        <f>SUM(G397)</f>
        <v>32104.99</v>
      </c>
      <c r="H396" s="12">
        <f>SUM(H397)</f>
        <v>0</v>
      </c>
      <c r="I396" s="12">
        <f t="shared" si="18"/>
        <v>32104.99</v>
      </c>
      <c r="J396" s="11"/>
    </row>
    <row r="397" spans="1:10" x14ac:dyDescent="0.2">
      <c r="A397" s="10">
        <v>2</v>
      </c>
      <c r="B397" s="9">
        <v>6</v>
      </c>
      <c r="C397" s="9">
        <v>5</v>
      </c>
      <c r="D397" s="9">
        <v>7</v>
      </c>
      <c r="E397" s="24" t="s">
        <v>44</v>
      </c>
      <c r="F397" s="8" t="s">
        <v>415</v>
      </c>
      <c r="G397" s="7">
        <f>'CUENTA T FONDO 100'!HI126</f>
        <v>32104.99</v>
      </c>
      <c r="H397" s="7">
        <f>'CUENTA T VS'!HI106</f>
        <v>0</v>
      </c>
      <c r="I397" s="7">
        <f t="shared" si="18"/>
        <v>32104.99</v>
      </c>
      <c r="J397" s="6">
        <f>I397/$I$25</f>
        <v>3.1942124511301335E-4</v>
      </c>
    </row>
    <row r="398" spans="1:10" x14ac:dyDescent="0.2">
      <c r="A398" s="16">
        <v>2</v>
      </c>
      <c r="B398" s="15">
        <v>6</v>
      </c>
      <c r="C398" s="15">
        <v>5</v>
      </c>
      <c r="D398" s="15">
        <v>8</v>
      </c>
      <c r="E398" s="15"/>
      <c r="F398" s="13" t="s">
        <v>142</v>
      </c>
      <c r="G398" s="12">
        <f>SUM(G399)</f>
        <v>97704</v>
      </c>
      <c r="H398" s="12">
        <f>SUM(H399)</f>
        <v>0</v>
      </c>
      <c r="I398" s="12">
        <f t="shared" si="18"/>
        <v>97704</v>
      </c>
      <c r="J398" s="11"/>
    </row>
    <row r="399" spans="1:10" x14ac:dyDescent="0.2">
      <c r="A399" s="10">
        <v>2</v>
      </c>
      <c r="B399" s="9">
        <v>6</v>
      </c>
      <c r="C399" s="9">
        <v>5</v>
      </c>
      <c r="D399" s="9">
        <v>8</v>
      </c>
      <c r="E399" s="24" t="s">
        <v>44</v>
      </c>
      <c r="F399" s="8" t="s">
        <v>142</v>
      </c>
      <c r="G399" s="7">
        <f>'CUENTA T FONDO 100'!HJ126</f>
        <v>97704</v>
      </c>
      <c r="H399" s="7">
        <f>'CUENTA T VS'!HJ106</f>
        <v>0</v>
      </c>
      <c r="I399" s="7">
        <f t="shared" si="18"/>
        <v>97704</v>
      </c>
      <c r="J399" s="6">
        <f>I399/$I$25</f>
        <v>9.7208357119942586E-4</v>
      </c>
    </row>
    <row r="400" spans="1:10" x14ac:dyDescent="0.2">
      <c r="A400" s="23">
        <v>2</v>
      </c>
      <c r="B400" s="22">
        <v>6</v>
      </c>
      <c r="C400" s="22">
        <v>6</v>
      </c>
      <c r="D400" s="22"/>
      <c r="E400" s="22"/>
      <c r="F400" s="21" t="s">
        <v>141</v>
      </c>
      <c r="G400" s="20">
        <f>+G401+G403</f>
        <v>0</v>
      </c>
      <c r="H400" s="20">
        <f>+H401+H403</f>
        <v>0</v>
      </c>
      <c r="I400" s="20">
        <f t="shared" si="18"/>
        <v>0</v>
      </c>
      <c r="J400" s="19">
        <f>I400/$I$25</f>
        <v>0</v>
      </c>
    </row>
    <row r="401" spans="1:10" x14ac:dyDescent="0.2">
      <c r="A401" s="18">
        <v>2</v>
      </c>
      <c r="B401" s="15">
        <v>6</v>
      </c>
      <c r="C401" s="15">
        <v>6</v>
      </c>
      <c r="D401" s="15">
        <v>1</v>
      </c>
      <c r="E401" s="14"/>
      <c r="F401" s="13" t="s">
        <v>140</v>
      </c>
      <c r="G401" s="12">
        <f>+G402</f>
        <v>0</v>
      </c>
      <c r="H401" s="12">
        <f>+H402</f>
        <v>0</v>
      </c>
      <c r="I401" s="12">
        <f t="shared" si="18"/>
        <v>0</v>
      </c>
      <c r="J401" s="11"/>
    </row>
    <row r="402" spans="1:10" x14ac:dyDescent="0.2">
      <c r="A402" s="17">
        <v>2</v>
      </c>
      <c r="B402" s="9">
        <v>6</v>
      </c>
      <c r="C402" s="9">
        <v>6</v>
      </c>
      <c r="D402" s="9">
        <v>1</v>
      </c>
      <c r="E402" s="9" t="s">
        <v>80</v>
      </c>
      <c r="F402" s="8" t="s">
        <v>140</v>
      </c>
      <c r="G402" s="7">
        <f>'CUENTA T FONDO 100'!HK126</f>
        <v>0</v>
      </c>
      <c r="H402" s="7">
        <f>'CUENTA T VS'!HK106</f>
        <v>0</v>
      </c>
      <c r="I402" s="7">
        <f t="shared" si="18"/>
        <v>0</v>
      </c>
      <c r="J402" s="6">
        <f>I402/$I$25</f>
        <v>0</v>
      </c>
    </row>
    <row r="403" spans="1:10" x14ac:dyDescent="0.2">
      <c r="A403" s="18">
        <v>2</v>
      </c>
      <c r="B403" s="15">
        <v>6</v>
      </c>
      <c r="C403" s="15">
        <v>6</v>
      </c>
      <c r="D403" s="15">
        <v>2</v>
      </c>
      <c r="E403" s="14"/>
      <c r="F403" s="13" t="s">
        <v>139</v>
      </c>
      <c r="G403" s="12">
        <f>+G404</f>
        <v>0</v>
      </c>
      <c r="H403" s="12">
        <f>+H404</f>
        <v>0</v>
      </c>
      <c r="I403" s="12">
        <f t="shared" si="18"/>
        <v>0</v>
      </c>
      <c r="J403" s="11"/>
    </row>
    <row r="404" spans="1:10" x14ac:dyDescent="0.2">
      <c r="A404" s="17">
        <v>2</v>
      </c>
      <c r="B404" s="9">
        <v>6</v>
      </c>
      <c r="C404" s="9">
        <v>6</v>
      </c>
      <c r="D404" s="9">
        <v>2</v>
      </c>
      <c r="E404" s="9" t="s">
        <v>80</v>
      </c>
      <c r="F404" s="8" t="s">
        <v>139</v>
      </c>
      <c r="G404" s="7">
        <f>'CUENTA T FONDO 100'!HL126</f>
        <v>0</v>
      </c>
      <c r="H404" s="7">
        <f>'CUENTA T VS'!HL106</f>
        <v>0</v>
      </c>
      <c r="I404" s="7">
        <f t="shared" si="18"/>
        <v>0</v>
      </c>
      <c r="J404" s="6">
        <f>I404/$I$25</f>
        <v>0</v>
      </c>
    </row>
    <row r="405" spans="1:10" x14ac:dyDescent="0.2">
      <c r="A405" s="30">
        <v>2</v>
      </c>
      <c r="B405" s="22">
        <v>6</v>
      </c>
      <c r="C405" s="22">
        <v>7</v>
      </c>
      <c r="D405" s="22"/>
      <c r="E405" s="29"/>
      <c r="F405" s="21" t="s">
        <v>138</v>
      </c>
      <c r="G405" s="20">
        <f>+G406+G408+G410+G412+G414+G416+G418+G420+G422</f>
        <v>0</v>
      </c>
      <c r="H405" s="20">
        <f>+H406+H408+H410+H412+H414+H416+H418+H420+H422</f>
        <v>0</v>
      </c>
      <c r="I405" s="20">
        <f t="shared" si="18"/>
        <v>0</v>
      </c>
      <c r="J405" s="19"/>
    </row>
    <row r="406" spans="1:10" x14ac:dyDescent="0.2">
      <c r="A406" s="16">
        <v>2</v>
      </c>
      <c r="B406" s="15">
        <v>6</v>
      </c>
      <c r="C406" s="15">
        <v>7</v>
      </c>
      <c r="D406" s="15">
        <v>1</v>
      </c>
      <c r="E406" s="15"/>
      <c r="F406" s="13" t="s">
        <v>137</v>
      </c>
      <c r="G406" s="12">
        <f>SUM(G407)</f>
        <v>0</v>
      </c>
      <c r="H406" s="12">
        <f>SUM(H407)</f>
        <v>0</v>
      </c>
      <c r="I406" s="12">
        <f t="shared" si="18"/>
        <v>0</v>
      </c>
      <c r="J406" s="11"/>
    </row>
    <row r="407" spans="1:10" x14ac:dyDescent="0.2">
      <c r="A407" s="10">
        <v>2</v>
      </c>
      <c r="B407" s="9">
        <v>6</v>
      </c>
      <c r="C407" s="9">
        <v>7</v>
      </c>
      <c r="D407" s="9">
        <v>1</v>
      </c>
      <c r="E407" s="24" t="s">
        <v>44</v>
      </c>
      <c r="F407" s="8" t="s">
        <v>137</v>
      </c>
      <c r="G407" s="7">
        <f>'CUENTA T FONDO 100'!HM126</f>
        <v>0</v>
      </c>
      <c r="H407" s="7">
        <f>'CUENTA T VS'!HM106</f>
        <v>0</v>
      </c>
      <c r="I407" s="7">
        <f t="shared" si="18"/>
        <v>0</v>
      </c>
      <c r="J407" s="6">
        <f>I407/$I$25</f>
        <v>0</v>
      </c>
    </row>
    <row r="408" spans="1:10" x14ac:dyDescent="0.2">
      <c r="A408" s="18">
        <v>2</v>
      </c>
      <c r="B408" s="15">
        <v>6</v>
      </c>
      <c r="C408" s="15">
        <v>7</v>
      </c>
      <c r="D408" s="15">
        <v>2</v>
      </c>
      <c r="E408" s="15"/>
      <c r="F408" s="13" t="s">
        <v>136</v>
      </c>
      <c r="G408" s="12">
        <f>SUM(G409)</f>
        <v>0</v>
      </c>
      <c r="H408" s="12">
        <f>SUM(H409)</f>
        <v>0</v>
      </c>
      <c r="I408" s="12">
        <f t="shared" si="18"/>
        <v>0</v>
      </c>
      <c r="J408" s="11"/>
    </row>
    <row r="409" spans="1:10" x14ac:dyDescent="0.2">
      <c r="A409" s="17">
        <v>2</v>
      </c>
      <c r="B409" s="9">
        <v>6</v>
      </c>
      <c r="C409" s="9">
        <v>7</v>
      </c>
      <c r="D409" s="9">
        <v>2</v>
      </c>
      <c r="E409" s="24" t="s">
        <v>44</v>
      </c>
      <c r="F409" s="8" t="s">
        <v>136</v>
      </c>
      <c r="G409" s="7">
        <f>'CUENTA T FONDO 100'!HN126</f>
        <v>0</v>
      </c>
      <c r="H409" s="7">
        <f>'CUENTA T VS'!HN106</f>
        <v>0</v>
      </c>
      <c r="I409" s="7">
        <f t="shared" ref="I409:I472" si="19">SUM(G409:H409)</f>
        <v>0</v>
      </c>
      <c r="J409" s="6">
        <f>I409/$I$25</f>
        <v>0</v>
      </c>
    </row>
    <row r="410" spans="1:10" x14ac:dyDescent="0.2">
      <c r="A410" s="18">
        <v>2</v>
      </c>
      <c r="B410" s="15">
        <v>6</v>
      </c>
      <c r="C410" s="15">
        <v>7</v>
      </c>
      <c r="D410" s="15">
        <v>3</v>
      </c>
      <c r="E410" s="15"/>
      <c r="F410" s="13" t="s">
        <v>135</v>
      </c>
      <c r="G410" s="12">
        <f>SUM(G411)</f>
        <v>0</v>
      </c>
      <c r="H410" s="12">
        <f>SUM(H411)</f>
        <v>0</v>
      </c>
      <c r="I410" s="12">
        <f t="shared" si="19"/>
        <v>0</v>
      </c>
      <c r="J410" s="11"/>
    </row>
    <row r="411" spans="1:10" x14ac:dyDescent="0.2">
      <c r="A411" s="17">
        <v>2</v>
      </c>
      <c r="B411" s="9">
        <v>6</v>
      </c>
      <c r="C411" s="9">
        <v>7</v>
      </c>
      <c r="D411" s="9">
        <v>3</v>
      </c>
      <c r="E411" s="24" t="s">
        <v>44</v>
      </c>
      <c r="F411" s="8" t="s">
        <v>135</v>
      </c>
      <c r="G411" s="7">
        <f>'CUENTA T FONDO 100'!HO126</f>
        <v>0</v>
      </c>
      <c r="H411" s="7">
        <f>'CUENTA T VS'!HO106</f>
        <v>0</v>
      </c>
      <c r="I411" s="7">
        <f t="shared" si="19"/>
        <v>0</v>
      </c>
      <c r="J411" s="6">
        <f>I411/$I$25</f>
        <v>0</v>
      </c>
    </row>
    <row r="412" spans="1:10" x14ac:dyDescent="0.2">
      <c r="A412" s="18">
        <v>2</v>
      </c>
      <c r="B412" s="15">
        <v>6</v>
      </c>
      <c r="C412" s="15">
        <v>7</v>
      </c>
      <c r="D412" s="15">
        <v>4</v>
      </c>
      <c r="E412" s="15"/>
      <c r="F412" s="13" t="s">
        <v>134</v>
      </c>
      <c r="G412" s="12">
        <f>SUM(G413)</f>
        <v>0</v>
      </c>
      <c r="H412" s="12">
        <f>SUM(H413)</f>
        <v>0</v>
      </c>
      <c r="I412" s="12">
        <f t="shared" si="19"/>
        <v>0</v>
      </c>
      <c r="J412" s="11"/>
    </row>
    <row r="413" spans="1:10" x14ac:dyDescent="0.2">
      <c r="A413" s="17">
        <v>2</v>
      </c>
      <c r="B413" s="9">
        <v>6</v>
      </c>
      <c r="C413" s="9">
        <v>7</v>
      </c>
      <c r="D413" s="9">
        <v>4</v>
      </c>
      <c r="E413" s="24" t="s">
        <v>44</v>
      </c>
      <c r="F413" s="8" t="s">
        <v>134</v>
      </c>
      <c r="G413" s="7">
        <f>'CUENTA T FONDO 100'!HP126</f>
        <v>0</v>
      </c>
      <c r="H413" s="7">
        <f>'CUENTA T VS'!HP106</f>
        <v>0</v>
      </c>
      <c r="I413" s="7">
        <f t="shared" si="19"/>
        <v>0</v>
      </c>
      <c r="J413" s="6">
        <f>I413/$I$25</f>
        <v>0</v>
      </c>
    </row>
    <row r="414" spans="1:10" x14ac:dyDescent="0.2">
      <c r="A414" s="18">
        <v>2</v>
      </c>
      <c r="B414" s="15">
        <v>6</v>
      </c>
      <c r="C414" s="15">
        <v>7</v>
      </c>
      <c r="D414" s="15">
        <v>5</v>
      </c>
      <c r="E414" s="15"/>
      <c r="F414" s="13" t="s">
        <v>133</v>
      </c>
      <c r="G414" s="12">
        <f>SUM(G415)</f>
        <v>0</v>
      </c>
      <c r="H414" s="12">
        <f>SUM(H415)</f>
        <v>0</v>
      </c>
      <c r="I414" s="12">
        <f t="shared" si="19"/>
        <v>0</v>
      </c>
      <c r="J414" s="11"/>
    </row>
    <row r="415" spans="1:10" x14ac:dyDescent="0.2">
      <c r="A415" s="17">
        <v>2</v>
      </c>
      <c r="B415" s="9">
        <v>6</v>
      </c>
      <c r="C415" s="9">
        <v>7</v>
      </c>
      <c r="D415" s="9">
        <v>5</v>
      </c>
      <c r="E415" s="24" t="s">
        <v>44</v>
      </c>
      <c r="F415" s="8" t="s">
        <v>133</v>
      </c>
      <c r="G415" s="7">
        <f>'CUENTA T FONDO 100'!HQ126</f>
        <v>0</v>
      </c>
      <c r="H415" s="7">
        <f>'CUENTA T VS'!HQ106</f>
        <v>0</v>
      </c>
      <c r="I415" s="7">
        <f t="shared" si="19"/>
        <v>0</v>
      </c>
      <c r="J415" s="6">
        <f>I415/$I$25</f>
        <v>0</v>
      </c>
    </row>
    <row r="416" spans="1:10" x14ac:dyDescent="0.2">
      <c r="A416" s="18">
        <v>2</v>
      </c>
      <c r="B416" s="15">
        <v>6</v>
      </c>
      <c r="C416" s="15">
        <v>7</v>
      </c>
      <c r="D416" s="15">
        <v>6</v>
      </c>
      <c r="E416" s="15"/>
      <c r="F416" s="13" t="s">
        <v>132</v>
      </c>
      <c r="G416" s="12">
        <f>SUM(G417)</f>
        <v>0</v>
      </c>
      <c r="H416" s="12">
        <f>SUM(H417)</f>
        <v>0</v>
      </c>
      <c r="I416" s="12">
        <f t="shared" si="19"/>
        <v>0</v>
      </c>
      <c r="J416" s="11"/>
    </row>
    <row r="417" spans="1:10" x14ac:dyDescent="0.2">
      <c r="A417" s="17">
        <v>2</v>
      </c>
      <c r="B417" s="9">
        <v>6</v>
      </c>
      <c r="C417" s="9">
        <v>7</v>
      </c>
      <c r="D417" s="9">
        <v>6</v>
      </c>
      <c r="E417" s="24" t="s">
        <v>44</v>
      </c>
      <c r="F417" s="8" t="s">
        <v>132</v>
      </c>
      <c r="G417" s="7">
        <f>'CUENTA T FONDO 100'!HR126</f>
        <v>0</v>
      </c>
      <c r="H417" s="7">
        <f>'CUENTA T VS'!HR106</f>
        <v>0</v>
      </c>
      <c r="I417" s="7">
        <f t="shared" si="19"/>
        <v>0</v>
      </c>
      <c r="J417" s="6">
        <f>I417/$I$25</f>
        <v>0</v>
      </c>
    </row>
    <row r="418" spans="1:10" x14ac:dyDescent="0.2">
      <c r="A418" s="18">
        <v>2</v>
      </c>
      <c r="B418" s="15">
        <v>6</v>
      </c>
      <c r="C418" s="15">
        <v>7</v>
      </c>
      <c r="D418" s="15">
        <v>7</v>
      </c>
      <c r="E418" s="15"/>
      <c r="F418" s="13" t="s">
        <v>131</v>
      </c>
      <c r="G418" s="12">
        <f>SUM(G419)</f>
        <v>0</v>
      </c>
      <c r="H418" s="12">
        <f>SUM(H419)</f>
        <v>0</v>
      </c>
      <c r="I418" s="12">
        <f t="shared" si="19"/>
        <v>0</v>
      </c>
      <c r="J418" s="11"/>
    </row>
    <row r="419" spans="1:10" x14ac:dyDescent="0.2">
      <c r="A419" s="17">
        <v>2</v>
      </c>
      <c r="B419" s="9">
        <v>6</v>
      </c>
      <c r="C419" s="9">
        <v>7</v>
      </c>
      <c r="D419" s="9">
        <v>7</v>
      </c>
      <c r="E419" s="24" t="s">
        <v>44</v>
      </c>
      <c r="F419" s="8" t="s">
        <v>131</v>
      </c>
      <c r="G419" s="7">
        <f>'CUENTA T FONDO 100'!HS126</f>
        <v>0</v>
      </c>
      <c r="H419" s="7">
        <f>'CUENTA T VS'!HS106</f>
        <v>0</v>
      </c>
      <c r="I419" s="7">
        <f t="shared" si="19"/>
        <v>0</v>
      </c>
      <c r="J419" s="6">
        <f>I419/$I$25</f>
        <v>0</v>
      </c>
    </row>
    <row r="420" spans="1:10" x14ac:dyDescent="0.2">
      <c r="A420" s="18">
        <v>2</v>
      </c>
      <c r="B420" s="15">
        <v>6</v>
      </c>
      <c r="C420" s="15">
        <v>7</v>
      </c>
      <c r="D420" s="15">
        <v>8</v>
      </c>
      <c r="E420" s="15"/>
      <c r="F420" s="13" t="s">
        <v>416</v>
      </c>
      <c r="G420" s="12">
        <f>SUM(G421)</f>
        <v>0</v>
      </c>
      <c r="H420" s="12">
        <f>SUM(H421)</f>
        <v>0</v>
      </c>
      <c r="I420" s="12">
        <f t="shared" si="19"/>
        <v>0</v>
      </c>
      <c r="J420" s="11"/>
    </row>
    <row r="421" spans="1:10" x14ac:dyDescent="0.2">
      <c r="A421" s="17">
        <v>2</v>
      </c>
      <c r="B421" s="9">
        <v>6</v>
      </c>
      <c r="C421" s="9">
        <v>7</v>
      </c>
      <c r="D421" s="9">
        <v>8</v>
      </c>
      <c r="E421" s="24" t="s">
        <v>44</v>
      </c>
      <c r="F421" s="8" t="s">
        <v>416</v>
      </c>
      <c r="G421" s="7">
        <f>'CUENTA T FONDO 100'!HT126</f>
        <v>0</v>
      </c>
      <c r="H421" s="7">
        <f>'CUENTA T VS'!HT106</f>
        <v>0</v>
      </c>
      <c r="I421" s="7">
        <f t="shared" si="19"/>
        <v>0</v>
      </c>
      <c r="J421" s="6">
        <f>I421/$I$25</f>
        <v>0</v>
      </c>
    </row>
    <row r="422" spans="1:10" ht="25.5" x14ac:dyDescent="0.2">
      <c r="A422" s="18">
        <v>2</v>
      </c>
      <c r="B422" s="15">
        <v>6</v>
      </c>
      <c r="C422" s="15">
        <v>7</v>
      </c>
      <c r="D422" s="15">
        <v>9</v>
      </c>
      <c r="E422" s="15"/>
      <c r="F422" s="13" t="s">
        <v>130</v>
      </c>
      <c r="G422" s="12">
        <f>SUM(G423)</f>
        <v>0</v>
      </c>
      <c r="H422" s="12">
        <f>SUM(H423)</f>
        <v>0</v>
      </c>
      <c r="I422" s="12">
        <f t="shared" si="19"/>
        <v>0</v>
      </c>
      <c r="J422" s="11"/>
    </row>
    <row r="423" spans="1:10" ht="25.5" x14ac:dyDescent="0.2">
      <c r="A423" s="17">
        <v>2</v>
      </c>
      <c r="B423" s="9">
        <v>6</v>
      </c>
      <c r="C423" s="9">
        <v>7</v>
      </c>
      <c r="D423" s="9">
        <v>9</v>
      </c>
      <c r="E423" s="24" t="s">
        <v>44</v>
      </c>
      <c r="F423" s="8" t="s">
        <v>130</v>
      </c>
      <c r="G423" s="7">
        <f>'CUENTA T FONDO 100'!HU126</f>
        <v>0</v>
      </c>
      <c r="H423" s="7">
        <f>'CUENTA T VS'!HU106</f>
        <v>0</v>
      </c>
      <c r="I423" s="7">
        <f t="shared" si="19"/>
        <v>0</v>
      </c>
      <c r="J423" s="6">
        <f>I423/$I$25</f>
        <v>0</v>
      </c>
    </row>
    <row r="424" spans="1:10" x14ac:dyDescent="0.2">
      <c r="A424" s="23">
        <v>2</v>
      </c>
      <c r="B424" s="22">
        <v>6</v>
      </c>
      <c r="C424" s="22">
        <v>8</v>
      </c>
      <c r="D424" s="22"/>
      <c r="E424" s="22"/>
      <c r="F424" s="21" t="s">
        <v>129</v>
      </c>
      <c r="G424" s="20">
        <f>G425+G427+G429+G432+G434+G436+G438+G440+G444</f>
        <v>0</v>
      </c>
      <c r="H424" s="20">
        <f>H425+H427+H429+H432+H434+H436+H438+H440+H444</f>
        <v>0</v>
      </c>
      <c r="I424" s="20">
        <f t="shared" si="19"/>
        <v>0</v>
      </c>
      <c r="J424" s="19"/>
    </row>
    <row r="425" spans="1:10" x14ac:dyDescent="0.2">
      <c r="A425" s="18">
        <v>2</v>
      </c>
      <c r="B425" s="15">
        <v>6</v>
      </c>
      <c r="C425" s="15">
        <v>8</v>
      </c>
      <c r="D425" s="15">
        <v>1</v>
      </c>
      <c r="E425" s="15"/>
      <c r="F425" s="13" t="s">
        <v>128</v>
      </c>
      <c r="G425" s="12">
        <f>+G426</f>
        <v>0</v>
      </c>
      <c r="H425" s="12">
        <f>+H426</f>
        <v>0</v>
      </c>
      <c r="I425" s="12">
        <f t="shared" si="19"/>
        <v>0</v>
      </c>
      <c r="J425" s="11"/>
    </row>
    <row r="426" spans="1:10" x14ac:dyDescent="0.2">
      <c r="A426" s="17">
        <v>2</v>
      </c>
      <c r="B426" s="9">
        <v>6</v>
      </c>
      <c r="C426" s="9">
        <v>8</v>
      </c>
      <c r="D426" s="9">
        <v>1</v>
      </c>
      <c r="E426" s="24" t="s">
        <v>44</v>
      </c>
      <c r="F426" s="8" t="s">
        <v>128</v>
      </c>
      <c r="G426" s="7">
        <f>'CUENTA T FONDO 100'!HV126</f>
        <v>0</v>
      </c>
      <c r="H426" s="7">
        <f>'CUENTA T VS'!HV106</f>
        <v>0</v>
      </c>
      <c r="I426" s="7">
        <f t="shared" si="19"/>
        <v>0</v>
      </c>
      <c r="J426" s="6">
        <f>I426/$I$25</f>
        <v>0</v>
      </c>
    </row>
    <row r="427" spans="1:10" x14ac:dyDescent="0.2">
      <c r="A427" s="18">
        <v>2</v>
      </c>
      <c r="B427" s="15">
        <v>6</v>
      </c>
      <c r="C427" s="15">
        <v>8</v>
      </c>
      <c r="D427" s="15">
        <v>2</v>
      </c>
      <c r="E427" s="15"/>
      <c r="F427" s="13" t="s">
        <v>127</v>
      </c>
      <c r="G427" s="12">
        <f>+G428</f>
        <v>0</v>
      </c>
      <c r="H427" s="12">
        <f>+H428</f>
        <v>0</v>
      </c>
      <c r="I427" s="12">
        <f t="shared" si="19"/>
        <v>0</v>
      </c>
      <c r="J427" s="11"/>
    </row>
    <row r="428" spans="1:10" x14ac:dyDescent="0.2">
      <c r="A428" s="17">
        <v>2</v>
      </c>
      <c r="B428" s="9">
        <v>6</v>
      </c>
      <c r="C428" s="9">
        <v>8</v>
      </c>
      <c r="D428" s="9">
        <v>2</v>
      </c>
      <c r="E428" s="24" t="s">
        <v>44</v>
      </c>
      <c r="F428" s="8" t="s">
        <v>127</v>
      </c>
      <c r="G428" s="7">
        <f>'CUENTA T FONDO 100'!HW126</f>
        <v>0</v>
      </c>
      <c r="H428" s="7">
        <f>'CUENTA T VS'!HW106</f>
        <v>0</v>
      </c>
      <c r="I428" s="7">
        <f t="shared" si="19"/>
        <v>0</v>
      </c>
      <c r="J428" s="6">
        <f>I428/$I$25</f>
        <v>0</v>
      </c>
    </row>
    <row r="429" spans="1:10" x14ac:dyDescent="0.2">
      <c r="A429" s="18">
        <v>2</v>
      </c>
      <c r="B429" s="15">
        <v>6</v>
      </c>
      <c r="C429" s="15">
        <v>8</v>
      </c>
      <c r="D429" s="15">
        <v>3</v>
      </c>
      <c r="E429" s="15"/>
      <c r="F429" s="13" t="s">
        <v>126</v>
      </c>
      <c r="G429" s="12">
        <f>SUM(G430:G431)</f>
        <v>0</v>
      </c>
      <c r="H429" s="12">
        <f>SUM(H430:H431)</f>
        <v>0</v>
      </c>
      <c r="I429" s="12">
        <f t="shared" si="19"/>
        <v>0</v>
      </c>
      <c r="J429" s="11"/>
    </row>
    <row r="430" spans="1:10" x14ac:dyDescent="0.2">
      <c r="A430" s="17">
        <v>2</v>
      </c>
      <c r="B430" s="9">
        <v>6</v>
      </c>
      <c r="C430" s="9">
        <v>8</v>
      </c>
      <c r="D430" s="9">
        <v>3</v>
      </c>
      <c r="E430" s="24" t="s">
        <v>44</v>
      </c>
      <c r="F430" s="8" t="s">
        <v>125</v>
      </c>
      <c r="G430" s="7">
        <f>'CUENTA T FONDO 100'!HX126</f>
        <v>0</v>
      </c>
      <c r="H430" s="7">
        <f>'CUENTA T VS'!HX106</f>
        <v>0</v>
      </c>
      <c r="I430" s="7">
        <f t="shared" si="19"/>
        <v>0</v>
      </c>
      <c r="J430" s="6">
        <f>I430/$I$25</f>
        <v>0</v>
      </c>
    </row>
    <row r="431" spans="1:10" x14ac:dyDescent="0.2">
      <c r="A431" s="17">
        <v>2</v>
      </c>
      <c r="B431" s="9">
        <v>6</v>
      </c>
      <c r="C431" s="9">
        <v>8</v>
      </c>
      <c r="D431" s="9">
        <v>3</v>
      </c>
      <c r="E431" s="24" t="s">
        <v>43</v>
      </c>
      <c r="F431" s="8" t="s">
        <v>124</v>
      </c>
      <c r="G431" s="7">
        <f>'CUENTA T FONDO 100'!HY126</f>
        <v>0</v>
      </c>
      <c r="H431" s="7">
        <f>'CUENTA T VS'!HY106</f>
        <v>0</v>
      </c>
      <c r="I431" s="7">
        <f t="shared" si="19"/>
        <v>0</v>
      </c>
      <c r="J431" s="6">
        <f>I431/$I$25</f>
        <v>0</v>
      </c>
    </row>
    <row r="432" spans="1:10" x14ac:dyDescent="0.2">
      <c r="A432" s="18">
        <v>2</v>
      </c>
      <c r="B432" s="15">
        <v>6</v>
      </c>
      <c r="C432" s="15">
        <v>8</v>
      </c>
      <c r="D432" s="15">
        <v>4</v>
      </c>
      <c r="E432" s="15"/>
      <c r="F432" s="13" t="s">
        <v>123</v>
      </c>
      <c r="G432" s="12">
        <f>+G433</f>
        <v>0</v>
      </c>
      <c r="H432" s="12">
        <f>+H433</f>
        <v>0</v>
      </c>
      <c r="I432" s="12">
        <f t="shared" si="19"/>
        <v>0</v>
      </c>
      <c r="J432" s="11"/>
    </row>
    <row r="433" spans="1:10" x14ac:dyDescent="0.2">
      <c r="A433" s="17">
        <v>2</v>
      </c>
      <c r="B433" s="9">
        <v>6</v>
      </c>
      <c r="C433" s="9">
        <v>8</v>
      </c>
      <c r="D433" s="9">
        <v>4</v>
      </c>
      <c r="E433" s="24" t="s">
        <v>44</v>
      </c>
      <c r="F433" s="8" t="s">
        <v>123</v>
      </c>
      <c r="G433" s="7">
        <f>'CUENTA T FONDO 100'!HZ126</f>
        <v>0</v>
      </c>
      <c r="H433" s="7">
        <f>'CUENTA T VS'!HZ106</f>
        <v>0</v>
      </c>
      <c r="I433" s="7">
        <f t="shared" si="19"/>
        <v>0</v>
      </c>
      <c r="J433" s="6">
        <f>I433/$I$25</f>
        <v>0</v>
      </c>
    </row>
    <row r="434" spans="1:10" x14ac:dyDescent="0.2">
      <c r="A434" s="18">
        <v>2</v>
      </c>
      <c r="B434" s="15">
        <v>6</v>
      </c>
      <c r="C434" s="15">
        <v>8</v>
      </c>
      <c r="D434" s="15">
        <v>5</v>
      </c>
      <c r="E434" s="15"/>
      <c r="F434" s="13" t="s">
        <v>122</v>
      </c>
      <c r="G434" s="12">
        <f>+G435</f>
        <v>0</v>
      </c>
      <c r="H434" s="12">
        <f>+H435</f>
        <v>0</v>
      </c>
      <c r="I434" s="12">
        <f t="shared" si="19"/>
        <v>0</v>
      </c>
      <c r="J434" s="11"/>
    </row>
    <row r="435" spans="1:10" x14ac:dyDescent="0.2">
      <c r="A435" s="17">
        <v>2</v>
      </c>
      <c r="B435" s="9">
        <v>6</v>
      </c>
      <c r="C435" s="9">
        <v>8</v>
      </c>
      <c r="D435" s="9">
        <v>5</v>
      </c>
      <c r="E435" s="24" t="s">
        <v>44</v>
      </c>
      <c r="F435" s="8" t="s">
        <v>122</v>
      </c>
      <c r="G435" s="7">
        <f>'CUENTA T FONDO 100'!IA126</f>
        <v>0</v>
      </c>
      <c r="H435" s="7">
        <f>'CUENTA T VS'!IA106</f>
        <v>0</v>
      </c>
      <c r="I435" s="7">
        <f t="shared" si="19"/>
        <v>0</v>
      </c>
      <c r="J435" s="6">
        <f>I435/$I$25</f>
        <v>0</v>
      </c>
    </row>
    <row r="436" spans="1:10" x14ac:dyDescent="0.2">
      <c r="A436" s="18">
        <v>2</v>
      </c>
      <c r="B436" s="15">
        <v>6</v>
      </c>
      <c r="C436" s="15">
        <v>8</v>
      </c>
      <c r="D436" s="15">
        <v>6</v>
      </c>
      <c r="E436" s="15"/>
      <c r="F436" s="13" t="s">
        <v>121</v>
      </c>
      <c r="G436" s="12">
        <f>+G437</f>
        <v>0</v>
      </c>
      <c r="H436" s="12">
        <f>+H437</f>
        <v>0</v>
      </c>
      <c r="I436" s="12">
        <f t="shared" si="19"/>
        <v>0</v>
      </c>
      <c r="J436" s="11"/>
    </row>
    <row r="437" spans="1:10" x14ac:dyDescent="0.2">
      <c r="A437" s="17">
        <v>2</v>
      </c>
      <c r="B437" s="9">
        <v>6</v>
      </c>
      <c r="C437" s="9">
        <v>8</v>
      </c>
      <c r="D437" s="9">
        <v>6</v>
      </c>
      <c r="E437" s="24" t="s">
        <v>44</v>
      </c>
      <c r="F437" s="8" t="s">
        <v>121</v>
      </c>
      <c r="G437" s="7">
        <f>'CUENTA T FONDO 100'!IB126</f>
        <v>0</v>
      </c>
      <c r="H437" s="7">
        <f>'CUENTA T VS'!IB106</f>
        <v>0</v>
      </c>
      <c r="I437" s="7">
        <f t="shared" si="19"/>
        <v>0</v>
      </c>
      <c r="J437" s="6">
        <f>I437/$I$25</f>
        <v>0</v>
      </c>
    </row>
    <row r="438" spans="1:10" x14ac:dyDescent="0.2">
      <c r="A438" s="18">
        <v>2</v>
      </c>
      <c r="B438" s="15">
        <v>6</v>
      </c>
      <c r="C438" s="15">
        <v>8</v>
      </c>
      <c r="D438" s="15">
        <v>7</v>
      </c>
      <c r="E438" s="15"/>
      <c r="F438" s="13" t="s">
        <v>120</v>
      </c>
      <c r="G438" s="12">
        <f>+G439</f>
        <v>0</v>
      </c>
      <c r="H438" s="12">
        <f>+H439</f>
        <v>0</v>
      </c>
      <c r="I438" s="12">
        <f t="shared" si="19"/>
        <v>0</v>
      </c>
      <c r="J438" s="11"/>
    </row>
    <row r="439" spans="1:10" x14ac:dyDescent="0.2">
      <c r="A439" s="17">
        <v>2</v>
      </c>
      <c r="B439" s="9">
        <v>6</v>
      </c>
      <c r="C439" s="9">
        <v>8</v>
      </c>
      <c r="D439" s="9">
        <v>7</v>
      </c>
      <c r="E439" s="24" t="s">
        <v>44</v>
      </c>
      <c r="F439" s="8" t="s">
        <v>120</v>
      </c>
      <c r="G439" s="7">
        <f>'CUENTA T FONDO 100'!IC126</f>
        <v>0</v>
      </c>
      <c r="H439" s="7">
        <f>'CUENTA T VS'!IC106</f>
        <v>0</v>
      </c>
      <c r="I439" s="7">
        <f t="shared" si="19"/>
        <v>0</v>
      </c>
      <c r="J439" s="6">
        <f>I439/$I$25</f>
        <v>0</v>
      </c>
    </row>
    <row r="440" spans="1:10" x14ac:dyDescent="0.2">
      <c r="A440" s="16">
        <v>2</v>
      </c>
      <c r="B440" s="15">
        <v>6</v>
      </c>
      <c r="C440" s="15">
        <v>8</v>
      </c>
      <c r="D440" s="15">
        <v>8</v>
      </c>
      <c r="E440" s="15"/>
      <c r="F440" s="13" t="s">
        <v>419</v>
      </c>
      <c r="G440" s="12">
        <f>SUM(G441:G443)</f>
        <v>0</v>
      </c>
      <c r="H440" s="12">
        <f>SUM(H441:H443)</f>
        <v>0</v>
      </c>
      <c r="I440" s="12">
        <f t="shared" si="19"/>
        <v>0</v>
      </c>
      <c r="J440" s="11"/>
    </row>
    <row r="441" spans="1:10" x14ac:dyDescent="0.2">
      <c r="A441" s="17">
        <v>2</v>
      </c>
      <c r="B441" s="9">
        <v>6</v>
      </c>
      <c r="C441" s="9">
        <v>8</v>
      </c>
      <c r="D441" s="9">
        <v>8</v>
      </c>
      <c r="E441" s="9" t="s">
        <v>119</v>
      </c>
      <c r="F441" s="8" t="s">
        <v>118</v>
      </c>
      <c r="G441" s="7">
        <f>'CUENTA T FONDO 100'!ID126</f>
        <v>0</v>
      </c>
      <c r="H441" s="7">
        <f>'CUENTA T VS'!ID106</f>
        <v>0</v>
      </c>
      <c r="I441" s="7">
        <f t="shared" si="19"/>
        <v>0</v>
      </c>
      <c r="J441" s="6">
        <f>I441/$I$25</f>
        <v>0</v>
      </c>
    </row>
    <row r="442" spans="1:10" x14ac:dyDescent="0.2">
      <c r="A442" s="17">
        <v>2</v>
      </c>
      <c r="B442" s="9">
        <v>6</v>
      </c>
      <c r="C442" s="9">
        <v>8</v>
      </c>
      <c r="D442" s="9">
        <v>8</v>
      </c>
      <c r="E442" s="9" t="s">
        <v>117</v>
      </c>
      <c r="F442" s="8" t="s">
        <v>116</v>
      </c>
      <c r="G442" s="7">
        <f>'CUENTA T FONDO 100'!IE126</f>
        <v>0</v>
      </c>
      <c r="H442" s="7">
        <f>'CUENTA T VS'!IE106</f>
        <v>0</v>
      </c>
      <c r="I442" s="7">
        <f t="shared" si="19"/>
        <v>0</v>
      </c>
      <c r="J442" s="6">
        <f>I442/$I$25</f>
        <v>0</v>
      </c>
    </row>
    <row r="443" spans="1:10" x14ac:dyDescent="0.2">
      <c r="A443" s="17">
        <v>2</v>
      </c>
      <c r="B443" s="9">
        <v>6</v>
      </c>
      <c r="C443" s="9">
        <v>8</v>
      </c>
      <c r="D443" s="9">
        <v>8</v>
      </c>
      <c r="E443" s="9" t="s">
        <v>115</v>
      </c>
      <c r="F443" s="8" t="s">
        <v>114</v>
      </c>
      <c r="G443" s="7">
        <f>'CUENTA T FONDO 100'!IF126</f>
        <v>0</v>
      </c>
      <c r="H443" s="7">
        <f>'CUENTA T VS'!IF106</f>
        <v>0</v>
      </c>
      <c r="I443" s="7">
        <f t="shared" si="19"/>
        <v>0</v>
      </c>
      <c r="J443" s="6">
        <f>I443/$I$25</f>
        <v>0</v>
      </c>
    </row>
    <row r="444" spans="1:10" x14ac:dyDescent="0.2">
      <c r="A444" s="18">
        <v>2</v>
      </c>
      <c r="B444" s="15">
        <v>6</v>
      </c>
      <c r="C444" s="15">
        <v>8</v>
      </c>
      <c r="D444" s="15">
        <v>9</v>
      </c>
      <c r="E444" s="15"/>
      <c r="F444" s="13" t="s">
        <v>113</v>
      </c>
      <c r="G444" s="12">
        <f>+G445</f>
        <v>0</v>
      </c>
      <c r="H444" s="12">
        <f>+H445</f>
        <v>0</v>
      </c>
      <c r="I444" s="12">
        <f t="shared" si="19"/>
        <v>0</v>
      </c>
      <c r="J444" s="11"/>
    </row>
    <row r="445" spans="1:10" x14ac:dyDescent="0.2">
      <c r="A445" s="17">
        <v>2</v>
      </c>
      <c r="B445" s="9">
        <v>6</v>
      </c>
      <c r="C445" s="9">
        <v>8</v>
      </c>
      <c r="D445" s="9">
        <v>9</v>
      </c>
      <c r="E445" s="9" t="s">
        <v>80</v>
      </c>
      <c r="F445" s="8" t="s">
        <v>113</v>
      </c>
      <c r="G445" s="7">
        <f>'CUENTA T FONDO 100'!IG126</f>
        <v>0</v>
      </c>
      <c r="H445" s="7">
        <f>'CUENTA T VS'!IG106</f>
        <v>0</v>
      </c>
      <c r="I445" s="7">
        <f t="shared" si="19"/>
        <v>0</v>
      </c>
      <c r="J445" s="6">
        <f>I445/$I$25</f>
        <v>0</v>
      </c>
    </row>
    <row r="446" spans="1:10" x14ac:dyDescent="0.2">
      <c r="A446" s="30">
        <v>2</v>
      </c>
      <c r="B446" s="22">
        <v>6</v>
      </c>
      <c r="C446" s="22">
        <v>9</v>
      </c>
      <c r="D446" s="22"/>
      <c r="E446" s="29"/>
      <c r="F446" s="21" t="s">
        <v>112</v>
      </c>
      <c r="G446" s="20">
        <f>+G447+G450+G453+G455+G457+G461</f>
        <v>345560.94</v>
      </c>
      <c r="H446" s="20">
        <f>+H447+H450+H453+H455+H457+H461</f>
        <v>0</v>
      </c>
      <c r="I446" s="20">
        <f t="shared" si="19"/>
        <v>345560.94</v>
      </c>
      <c r="J446" s="19"/>
    </row>
    <row r="447" spans="1:10" x14ac:dyDescent="0.2">
      <c r="A447" s="18">
        <v>2</v>
      </c>
      <c r="B447" s="15">
        <v>6</v>
      </c>
      <c r="C447" s="15">
        <v>9</v>
      </c>
      <c r="D447" s="15">
        <v>1</v>
      </c>
      <c r="E447" s="15"/>
      <c r="F447" s="13" t="s">
        <v>111</v>
      </c>
      <c r="G447" s="12">
        <f>+G448+G449</f>
        <v>0</v>
      </c>
      <c r="H447" s="12">
        <f t="shared" ref="H447" si="20">+H448+H449</f>
        <v>0</v>
      </c>
      <c r="I447" s="12">
        <f t="shared" si="19"/>
        <v>0</v>
      </c>
      <c r="J447" s="12"/>
    </row>
    <row r="448" spans="1:10" x14ac:dyDescent="0.2">
      <c r="A448" s="28">
        <v>2</v>
      </c>
      <c r="B448" s="27">
        <v>6</v>
      </c>
      <c r="C448" s="27">
        <v>9</v>
      </c>
      <c r="D448" s="27">
        <v>1</v>
      </c>
      <c r="E448" s="27" t="s">
        <v>44</v>
      </c>
      <c r="F448" s="26" t="s">
        <v>111</v>
      </c>
      <c r="G448" s="7">
        <f>'CUENTA T FONDO 100'!IH126</f>
        <v>0</v>
      </c>
      <c r="H448" s="25">
        <f>'CUENTA T VS'!IH106</f>
        <v>0</v>
      </c>
      <c r="I448" s="25">
        <f t="shared" si="19"/>
        <v>0</v>
      </c>
      <c r="J448" s="6">
        <f>I448/$I$25</f>
        <v>0</v>
      </c>
    </row>
    <row r="449" spans="1:10" x14ac:dyDescent="0.2">
      <c r="A449" s="28">
        <v>2</v>
      </c>
      <c r="B449" s="27">
        <v>6</v>
      </c>
      <c r="C449" s="27">
        <v>9</v>
      </c>
      <c r="D449" s="27">
        <v>1</v>
      </c>
      <c r="E449" s="27" t="s">
        <v>43</v>
      </c>
      <c r="F449" s="26" t="s">
        <v>417</v>
      </c>
      <c r="G449" s="7">
        <f>'CUENTA T FONDO 100'!II126</f>
        <v>0</v>
      </c>
      <c r="H449" s="25">
        <f>'CUENTA T VS'!II106</f>
        <v>0</v>
      </c>
      <c r="I449" s="25">
        <f t="shared" si="19"/>
        <v>0</v>
      </c>
      <c r="J449" s="6">
        <f>I449/$I$25</f>
        <v>0</v>
      </c>
    </row>
    <row r="450" spans="1:10" x14ac:dyDescent="0.2">
      <c r="A450" s="18">
        <v>2</v>
      </c>
      <c r="B450" s="15">
        <v>6</v>
      </c>
      <c r="C450" s="15">
        <v>9</v>
      </c>
      <c r="D450" s="15">
        <v>2</v>
      </c>
      <c r="E450" s="15"/>
      <c r="F450" s="13" t="s">
        <v>110</v>
      </c>
      <c r="G450" s="12">
        <f>SUM(G451:G452)</f>
        <v>0</v>
      </c>
      <c r="H450" s="12">
        <f t="shared" ref="H450" si="21">SUM(H451:H452)</f>
        <v>0</v>
      </c>
      <c r="I450" s="12">
        <f t="shared" si="19"/>
        <v>0</v>
      </c>
      <c r="J450" s="11"/>
    </row>
    <row r="451" spans="1:10" x14ac:dyDescent="0.2">
      <c r="A451" s="17">
        <v>2</v>
      </c>
      <c r="B451" s="9">
        <v>6</v>
      </c>
      <c r="C451" s="9">
        <v>9</v>
      </c>
      <c r="D451" s="9">
        <v>2</v>
      </c>
      <c r="E451" s="24" t="s">
        <v>44</v>
      </c>
      <c r="F451" s="8" t="s">
        <v>110</v>
      </c>
      <c r="G451" s="7">
        <f>'CUENTA T FONDO 100'!IJ126</f>
        <v>0</v>
      </c>
      <c r="H451" s="7">
        <f>'CUENTA T VS'!IJ106</f>
        <v>0</v>
      </c>
      <c r="I451" s="7">
        <f t="shared" si="19"/>
        <v>0</v>
      </c>
      <c r="J451" s="6">
        <f>I451/$I$25</f>
        <v>0</v>
      </c>
    </row>
    <row r="452" spans="1:10" x14ac:dyDescent="0.2">
      <c r="A452" s="17">
        <v>2</v>
      </c>
      <c r="B452" s="9">
        <v>6</v>
      </c>
      <c r="C452" s="9">
        <v>9</v>
      </c>
      <c r="D452" s="9">
        <v>2</v>
      </c>
      <c r="E452" s="24" t="s">
        <v>43</v>
      </c>
      <c r="F452" s="8" t="s">
        <v>418</v>
      </c>
      <c r="G452" s="7">
        <f>'CUENTA T FONDO 100'!IK126</f>
        <v>0</v>
      </c>
      <c r="H452" s="7">
        <f>'CUENTA T VS'!IK106</f>
        <v>0</v>
      </c>
      <c r="I452" s="7">
        <f t="shared" si="19"/>
        <v>0</v>
      </c>
      <c r="J452" s="6">
        <f>I452/$I$25</f>
        <v>0</v>
      </c>
    </row>
    <row r="453" spans="1:10" x14ac:dyDescent="0.2">
      <c r="A453" s="18">
        <v>2</v>
      </c>
      <c r="B453" s="15">
        <v>6</v>
      </c>
      <c r="C453" s="15">
        <v>9</v>
      </c>
      <c r="D453" s="15">
        <v>3</v>
      </c>
      <c r="E453" s="15"/>
      <c r="F453" s="13" t="s">
        <v>109</v>
      </c>
      <c r="G453" s="12">
        <f>SUM(G454)</f>
        <v>0</v>
      </c>
      <c r="H453" s="12">
        <f>SUM(H454)</f>
        <v>0</v>
      </c>
      <c r="I453" s="12">
        <f t="shared" si="19"/>
        <v>0</v>
      </c>
      <c r="J453" s="12"/>
    </row>
    <row r="454" spans="1:10" x14ac:dyDescent="0.2">
      <c r="A454" s="17">
        <v>2</v>
      </c>
      <c r="B454" s="9">
        <v>6</v>
      </c>
      <c r="C454" s="9">
        <v>9</v>
      </c>
      <c r="D454" s="9">
        <v>3</v>
      </c>
      <c r="E454" s="24" t="s">
        <v>44</v>
      </c>
      <c r="F454" s="8" t="s">
        <v>109</v>
      </c>
      <c r="G454" s="7">
        <f>'CUENTA T FONDO 100'!IL126</f>
        <v>0</v>
      </c>
      <c r="H454" s="7">
        <f>'CUENTA T VS'!IL106</f>
        <v>0</v>
      </c>
      <c r="I454" s="7">
        <f t="shared" si="19"/>
        <v>0</v>
      </c>
      <c r="J454" s="6">
        <f>I454/$I$25</f>
        <v>0</v>
      </c>
    </row>
    <row r="455" spans="1:10" x14ac:dyDescent="0.2">
      <c r="A455" s="18">
        <v>2</v>
      </c>
      <c r="B455" s="15">
        <v>6</v>
      </c>
      <c r="C455" s="15">
        <v>9</v>
      </c>
      <c r="D455" s="15">
        <v>4</v>
      </c>
      <c r="E455" s="15"/>
      <c r="F455" s="13" t="s">
        <v>108</v>
      </c>
      <c r="G455" s="12">
        <f>SUM(G456)</f>
        <v>0</v>
      </c>
      <c r="H455" s="12">
        <f>SUM(H456)</f>
        <v>0</v>
      </c>
      <c r="I455" s="12">
        <f t="shared" si="19"/>
        <v>0</v>
      </c>
      <c r="J455" s="11"/>
    </row>
    <row r="456" spans="1:10" x14ac:dyDescent="0.2">
      <c r="A456" s="17">
        <v>2</v>
      </c>
      <c r="B456" s="9">
        <v>6</v>
      </c>
      <c r="C456" s="9">
        <v>9</v>
      </c>
      <c r="D456" s="9">
        <v>4</v>
      </c>
      <c r="E456" s="24" t="s">
        <v>44</v>
      </c>
      <c r="F456" s="8" t="s">
        <v>108</v>
      </c>
      <c r="G456" s="7">
        <f>'CUENTA T FONDO 100'!IM126</f>
        <v>0</v>
      </c>
      <c r="H456" s="7">
        <f>'CUENTA T VS'!IM106</f>
        <v>0</v>
      </c>
      <c r="I456" s="7">
        <f t="shared" si="19"/>
        <v>0</v>
      </c>
      <c r="J456" s="6">
        <f>I456/$I$25</f>
        <v>0</v>
      </c>
    </row>
    <row r="457" spans="1:10" x14ac:dyDescent="0.2">
      <c r="A457" s="18">
        <v>2</v>
      </c>
      <c r="B457" s="15">
        <v>6</v>
      </c>
      <c r="C457" s="15">
        <v>9</v>
      </c>
      <c r="D457" s="15">
        <v>5</v>
      </c>
      <c r="E457" s="15"/>
      <c r="F457" s="13" t="s">
        <v>107</v>
      </c>
      <c r="G457" s="12">
        <f>SUM(G458:G460)</f>
        <v>345560.94</v>
      </c>
      <c r="H457" s="12">
        <f>SUM(H458:H460)</f>
        <v>0</v>
      </c>
      <c r="I457" s="12">
        <f t="shared" si="19"/>
        <v>345560.94</v>
      </c>
      <c r="J457" s="11"/>
    </row>
    <row r="458" spans="1:10" x14ac:dyDescent="0.2">
      <c r="A458" s="17">
        <v>2</v>
      </c>
      <c r="B458" s="9">
        <v>6</v>
      </c>
      <c r="C458" s="9">
        <v>9</v>
      </c>
      <c r="D458" s="9">
        <v>5</v>
      </c>
      <c r="E458" s="24" t="s">
        <v>44</v>
      </c>
      <c r="F458" s="8" t="s">
        <v>106</v>
      </c>
      <c r="G458" s="7">
        <f>'CUENTA T FONDO 100'!IN126</f>
        <v>0</v>
      </c>
      <c r="H458" s="7">
        <f>'CUENTA T VS'!IN106</f>
        <v>0</v>
      </c>
      <c r="I458" s="7">
        <f t="shared" si="19"/>
        <v>0</v>
      </c>
      <c r="J458" s="6">
        <f>I458/$I$25</f>
        <v>0</v>
      </c>
    </row>
    <row r="459" spans="1:10" ht="25.5" x14ac:dyDescent="0.2">
      <c r="A459" s="17">
        <v>2</v>
      </c>
      <c r="B459" s="9">
        <v>6</v>
      </c>
      <c r="C459" s="9">
        <v>9</v>
      </c>
      <c r="D459" s="9">
        <v>5</v>
      </c>
      <c r="E459" s="24" t="s">
        <v>43</v>
      </c>
      <c r="F459" s="8" t="s">
        <v>105</v>
      </c>
      <c r="G459" s="7">
        <f>'CUENTA T FONDO 100'!IO126</f>
        <v>0</v>
      </c>
      <c r="H459" s="7">
        <f>'CUENTA T VS'!IO106</f>
        <v>0</v>
      </c>
      <c r="I459" s="7">
        <f t="shared" si="19"/>
        <v>0</v>
      </c>
      <c r="J459" s="6">
        <f>I459/$I$25</f>
        <v>0</v>
      </c>
    </row>
    <row r="460" spans="1:10" x14ac:dyDescent="0.2">
      <c r="A460" s="17">
        <v>2</v>
      </c>
      <c r="B460" s="9">
        <v>6</v>
      </c>
      <c r="C460" s="9">
        <v>9</v>
      </c>
      <c r="D460" s="9">
        <v>5</v>
      </c>
      <c r="E460" s="24" t="s">
        <v>104</v>
      </c>
      <c r="F460" s="8" t="s">
        <v>103</v>
      </c>
      <c r="G460" s="7">
        <f>'CUENTA T FONDO 100'!IP126</f>
        <v>345560.94</v>
      </c>
      <c r="H460" s="7">
        <f>'CUENTA T VS'!IP106</f>
        <v>0</v>
      </c>
      <c r="I460" s="7">
        <f t="shared" si="19"/>
        <v>345560.94</v>
      </c>
      <c r="J460" s="6">
        <f>I460/$I$25</f>
        <v>3.4380794299335802E-3</v>
      </c>
    </row>
    <row r="461" spans="1:10" x14ac:dyDescent="0.2">
      <c r="A461" s="18">
        <v>2</v>
      </c>
      <c r="B461" s="15">
        <v>6</v>
      </c>
      <c r="C461" s="15">
        <v>9</v>
      </c>
      <c r="D461" s="15">
        <v>9</v>
      </c>
      <c r="E461" s="15"/>
      <c r="F461" s="13" t="s">
        <v>102</v>
      </c>
      <c r="G461" s="12">
        <f>SUM(G462)</f>
        <v>0</v>
      </c>
      <c r="H461" s="12">
        <f>SUM(H462)</f>
        <v>0</v>
      </c>
      <c r="I461" s="12">
        <f t="shared" si="19"/>
        <v>0</v>
      </c>
      <c r="J461" s="11"/>
    </row>
    <row r="462" spans="1:10" x14ac:dyDescent="0.2">
      <c r="A462" s="17">
        <v>2</v>
      </c>
      <c r="B462" s="9">
        <v>6</v>
      </c>
      <c r="C462" s="9">
        <v>9</v>
      </c>
      <c r="D462" s="9">
        <v>9</v>
      </c>
      <c r="E462" s="24" t="s">
        <v>44</v>
      </c>
      <c r="F462" s="8" t="s">
        <v>102</v>
      </c>
      <c r="G462" s="7">
        <f>'CUENTA T FONDO 100'!IQ126</f>
        <v>0</v>
      </c>
      <c r="H462" s="7">
        <f>'CUENTA T VS'!IQ106</f>
        <v>0</v>
      </c>
      <c r="I462" s="7">
        <f t="shared" si="19"/>
        <v>0</v>
      </c>
      <c r="J462" s="6">
        <f>I462/$I$25</f>
        <v>0</v>
      </c>
    </row>
    <row r="463" spans="1:10" x14ac:dyDescent="0.2">
      <c r="A463" s="23">
        <v>2</v>
      </c>
      <c r="B463" s="22">
        <v>7</v>
      </c>
      <c r="C463" s="22"/>
      <c r="D463" s="22"/>
      <c r="E463" s="22"/>
      <c r="F463" s="21" t="s">
        <v>101</v>
      </c>
      <c r="G463" s="20">
        <f>G464+G473+G492+G497</f>
        <v>0</v>
      </c>
      <c r="H463" s="20">
        <f>H464+H473+H492+H497</f>
        <v>0</v>
      </c>
      <c r="I463" s="20">
        <f t="shared" si="19"/>
        <v>0</v>
      </c>
      <c r="J463" s="19">
        <f>I463/$I$25</f>
        <v>0</v>
      </c>
    </row>
    <row r="464" spans="1:10" x14ac:dyDescent="0.2">
      <c r="A464" s="23">
        <v>2</v>
      </c>
      <c r="B464" s="22">
        <v>7</v>
      </c>
      <c r="C464" s="22">
        <v>1</v>
      </c>
      <c r="D464" s="22"/>
      <c r="E464" s="22"/>
      <c r="F464" s="21" t="s">
        <v>100</v>
      </c>
      <c r="G464" s="20">
        <f>+G465+G467+G469+G471</f>
        <v>0</v>
      </c>
      <c r="H464" s="20">
        <f>+H465+H467+H469+H471</f>
        <v>0</v>
      </c>
      <c r="I464" s="20">
        <f t="shared" si="19"/>
        <v>0</v>
      </c>
      <c r="J464" s="19"/>
    </row>
    <row r="465" spans="1:10" x14ac:dyDescent="0.2">
      <c r="A465" s="18">
        <v>2</v>
      </c>
      <c r="B465" s="15">
        <v>7</v>
      </c>
      <c r="C465" s="15">
        <v>1</v>
      </c>
      <c r="D465" s="15">
        <v>1</v>
      </c>
      <c r="E465" s="14"/>
      <c r="F465" s="13" t="s">
        <v>99</v>
      </c>
      <c r="G465" s="12">
        <f>+G466</f>
        <v>0</v>
      </c>
      <c r="H465" s="12">
        <f>+H466</f>
        <v>0</v>
      </c>
      <c r="I465" s="12">
        <f t="shared" si="19"/>
        <v>0</v>
      </c>
      <c r="J465" s="11"/>
    </row>
    <row r="466" spans="1:10" x14ac:dyDescent="0.2">
      <c r="A466" s="17">
        <v>2</v>
      </c>
      <c r="B466" s="9">
        <v>7</v>
      </c>
      <c r="C466" s="9">
        <v>1</v>
      </c>
      <c r="D466" s="9">
        <v>1</v>
      </c>
      <c r="E466" s="9" t="s">
        <v>80</v>
      </c>
      <c r="F466" s="8" t="s">
        <v>99</v>
      </c>
      <c r="G466" s="7">
        <f>'CUENTA T FONDO 100'!IR126</f>
        <v>0</v>
      </c>
      <c r="H466" s="7">
        <f>'CUENTA T VS'!IR106</f>
        <v>0</v>
      </c>
      <c r="I466" s="7">
        <f t="shared" si="19"/>
        <v>0</v>
      </c>
      <c r="J466" s="6">
        <f>I466/$I$25</f>
        <v>0</v>
      </c>
    </row>
    <row r="467" spans="1:10" x14ac:dyDescent="0.2">
      <c r="A467" s="18">
        <v>2</v>
      </c>
      <c r="B467" s="15">
        <v>7</v>
      </c>
      <c r="C467" s="15">
        <v>1</v>
      </c>
      <c r="D467" s="15">
        <v>2</v>
      </c>
      <c r="E467" s="14"/>
      <c r="F467" s="13" t="s">
        <v>98</v>
      </c>
      <c r="G467" s="12">
        <f>+G468</f>
        <v>0</v>
      </c>
      <c r="H467" s="12">
        <f>+H468</f>
        <v>0</v>
      </c>
      <c r="I467" s="12">
        <f t="shared" si="19"/>
        <v>0</v>
      </c>
      <c r="J467" s="11"/>
    </row>
    <row r="468" spans="1:10" x14ac:dyDescent="0.2">
      <c r="A468" s="17">
        <v>2</v>
      </c>
      <c r="B468" s="9">
        <v>7</v>
      </c>
      <c r="C468" s="9">
        <v>1</v>
      </c>
      <c r="D468" s="9">
        <v>2</v>
      </c>
      <c r="E468" s="9" t="s">
        <v>80</v>
      </c>
      <c r="F468" s="8" t="s">
        <v>98</v>
      </c>
      <c r="G468" s="7">
        <f>'CUENTA T FONDO 100'!IS126</f>
        <v>0</v>
      </c>
      <c r="H468" s="7">
        <f>'CUENTA T VS'!IS106</f>
        <v>0</v>
      </c>
      <c r="I468" s="7">
        <f t="shared" si="19"/>
        <v>0</v>
      </c>
      <c r="J468" s="6">
        <f>I468/$I$25</f>
        <v>0</v>
      </c>
    </row>
    <row r="469" spans="1:10" x14ac:dyDescent="0.2">
      <c r="A469" s="18">
        <v>2</v>
      </c>
      <c r="B469" s="15">
        <v>7</v>
      </c>
      <c r="C469" s="15">
        <v>1</v>
      </c>
      <c r="D469" s="15">
        <v>3</v>
      </c>
      <c r="E469" s="14"/>
      <c r="F469" s="13" t="s">
        <v>97</v>
      </c>
      <c r="G469" s="12">
        <f>+G470</f>
        <v>0</v>
      </c>
      <c r="H469" s="12">
        <f>+H470</f>
        <v>0</v>
      </c>
      <c r="I469" s="12">
        <f t="shared" si="19"/>
        <v>0</v>
      </c>
      <c r="J469" s="11"/>
    </row>
    <row r="470" spans="1:10" x14ac:dyDescent="0.2">
      <c r="A470" s="17">
        <v>2</v>
      </c>
      <c r="B470" s="9">
        <v>7</v>
      </c>
      <c r="C470" s="9">
        <v>1</v>
      </c>
      <c r="D470" s="9">
        <v>3</v>
      </c>
      <c r="E470" s="9" t="s">
        <v>80</v>
      </c>
      <c r="F470" s="8" t="s">
        <v>97</v>
      </c>
      <c r="G470" s="7">
        <f>'CUENTA T FONDO 100'!IT126</f>
        <v>0</v>
      </c>
      <c r="H470" s="7">
        <f>'CUENTA T VS'!IT106</f>
        <v>0</v>
      </c>
      <c r="I470" s="7">
        <f t="shared" si="19"/>
        <v>0</v>
      </c>
      <c r="J470" s="6">
        <f>I470/$I$25</f>
        <v>0</v>
      </c>
    </row>
    <row r="471" spans="1:10" x14ac:dyDescent="0.2">
      <c r="A471" s="18">
        <v>2</v>
      </c>
      <c r="B471" s="15">
        <v>7</v>
      </c>
      <c r="C471" s="15">
        <v>1</v>
      </c>
      <c r="D471" s="15">
        <v>4</v>
      </c>
      <c r="E471" s="14"/>
      <c r="F471" s="13" t="s">
        <v>96</v>
      </c>
      <c r="G471" s="12">
        <f>+G472</f>
        <v>0</v>
      </c>
      <c r="H471" s="12">
        <f>+H472</f>
        <v>0</v>
      </c>
      <c r="I471" s="12">
        <f t="shared" si="19"/>
        <v>0</v>
      </c>
      <c r="J471" s="11"/>
    </row>
    <row r="472" spans="1:10" x14ac:dyDescent="0.2">
      <c r="A472" s="17">
        <v>2</v>
      </c>
      <c r="B472" s="9">
        <v>7</v>
      </c>
      <c r="C472" s="9">
        <v>1</v>
      </c>
      <c r="D472" s="9">
        <v>4</v>
      </c>
      <c r="E472" s="9" t="s">
        <v>80</v>
      </c>
      <c r="F472" s="8" t="s">
        <v>96</v>
      </c>
      <c r="G472" s="7">
        <f>'CUENTA T FONDO 100'!IU126</f>
        <v>0</v>
      </c>
      <c r="H472" s="7">
        <f>'CUENTA T VS'!IU106</f>
        <v>0</v>
      </c>
      <c r="I472" s="7">
        <f t="shared" si="19"/>
        <v>0</v>
      </c>
      <c r="J472" s="6">
        <f>I472/$I$25</f>
        <v>0</v>
      </c>
    </row>
    <row r="473" spans="1:10" x14ac:dyDescent="0.2">
      <c r="A473" s="23">
        <v>2</v>
      </c>
      <c r="B473" s="22">
        <v>7</v>
      </c>
      <c r="C473" s="22">
        <v>2</v>
      </c>
      <c r="D473" s="22"/>
      <c r="E473" s="22"/>
      <c r="F473" s="21" t="s">
        <v>95</v>
      </c>
      <c r="G473" s="20">
        <f>+G474+G476+G478+G480+G482+G484+G486+G488+G490</f>
        <v>0</v>
      </c>
      <c r="H473" s="20">
        <f>+H474+H476+H478+H480+H482+H484+H486+H488+H490</f>
        <v>0</v>
      </c>
      <c r="I473" s="20">
        <f t="shared" ref="I473:I501" si="22">SUM(G473:H473)</f>
        <v>0</v>
      </c>
      <c r="J473" s="19"/>
    </row>
    <row r="474" spans="1:10" x14ac:dyDescent="0.2">
      <c r="A474" s="18">
        <v>2</v>
      </c>
      <c r="B474" s="15">
        <v>7</v>
      </c>
      <c r="C474" s="15">
        <v>2</v>
      </c>
      <c r="D474" s="15">
        <v>1</v>
      </c>
      <c r="E474" s="14"/>
      <c r="F474" s="13" t="s">
        <v>94</v>
      </c>
      <c r="G474" s="12">
        <f>+G475</f>
        <v>0</v>
      </c>
      <c r="H474" s="12">
        <f>+H475</f>
        <v>0</v>
      </c>
      <c r="I474" s="12">
        <f t="shared" si="22"/>
        <v>0</v>
      </c>
      <c r="J474" s="11"/>
    </row>
    <row r="475" spans="1:10" x14ac:dyDescent="0.2">
      <c r="A475" s="17">
        <v>2</v>
      </c>
      <c r="B475" s="9">
        <v>7</v>
      </c>
      <c r="C475" s="9">
        <v>2</v>
      </c>
      <c r="D475" s="9">
        <v>1</v>
      </c>
      <c r="E475" s="9" t="s">
        <v>80</v>
      </c>
      <c r="F475" s="8" t="s">
        <v>94</v>
      </c>
      <c r="G475" s="7">
        <f>'CUENTA T FONDO 100'!IV126</f>
        <v>0</v>
      </c>
      <c r="H475" s="7">
        <f>'CUENTA T VS'!IV106</f>
        <v>0</v>
      </c>
      <c r="I475" s="7">
        <f t="shared" si="22"/>
        <v>0</v>
      </c>
      <c r="J475" s="6">
        <f>I475/$I$25</f>
        <v>0</v>
      </c>
    </row>
    <row r="476" spans="1:10" x14ac:dyDescent="0.2">
      <c r="A476" s="18">
        <v>2</v>
      </c>
      <c r="B476" s="15">
        <v>7</v>
      </c>
      <c r="C476" s="15">
        <v>2</v>
      </c>
      <c r="D476" s="15">
        <v>2</v>
      </c>
      <c r="E476" s="14"/>
      <c r="F476" s="13" t="s">
        <v>93</v>
      </c>
      <c r="G476" s="12">
        <f>+G477</f>
        <v>0</v>
      </c>
      <c r="H476" s="12">
        <f>+H477</f>
        <v>0</v>
      </c>
      <c r="I476" s="12">
        <f t="shared" si="22"/>
        <v>0</v>
      </c>
      <c r="J476" s="11"/>
    </row>
    <row r="477" spans="1:10" x14ac:dyDescent="0.2">
      <c r="A477" s="17">
        <v>2</v>
      </c>
      <c r="B477" s="9">
        <v>7</v>
      </c>
      <c r="C477" s="9">
        <v>2</v>
      </c>
      <c r="D477" s="9">
        <v>2</v>
      </c>
      <c r="E477" s="9" t="s">
        <v>80</v>
      </c>
      <c r="F477" s="8" t="s">
        <v>93</v>
      </c>
      <c r="G477" s="7">
        <f>'CUENTA T FONDO 100'!IW126</f>
        <v>0</v>
      </c>
      <c r="H477" s="7">
        <f>'CUENTA T VS'!IW106</f>
        <v>0</v>
      </c>
      <c r="I477" s="7">
        <f t="shared" si="22"/>
        <v>0</v>
      </c>
      <c r="J477" s="6">
        <f>I477/$I$25</f>
        <v>0</v>
      </c>
    </row>
    <row r="478" spans="1:10" x14ac:dyDescent="0.2">
      <c r="A478" s="18">
        <v>2</v>
      </c>
      <c r="B478" s="15">
        <v>7</v>
      </c>
      <c r="C478" s="15">
        <v>2</v>
      </c>
      <c r="D478" s="15">
        <v>3</v>
      </c>
      <c r="E478" s="14"/>
      <c r="F478" s="13" t="s">
        <v>92</v>
      </c>
      <c r="G478" s="12">
        <f>+G479</f>
        <v>0</v>
      </c>
      <c r="H478" s="12">
        <f>+H479</f>
        <v>0</v>
      </c>
      <c r="I478" s="12">
        <f t="shared" si="22"/>
        <v>0</v>
      </c>
      <c r="J478" s="11"/>
    </row>
    <row r="479" spans="1:10" x14ac:dyDescent="0.2">
      <c r="A479" s="17">
        <v>2</v>
      </c>
      <c r="B479" s="9">
        <v>7</v>
      </c>
      <c r="C479" s="9">
        <v>2</v>
      </c>
      <c r="D479" s="9">
        <v>3</v>
      </c>
      <c r="E479" s="9" t="s">
        <v>80</v>
      </c>
      <c r="F479" s="8" t="s">
        <v>92</v>
      </c>
      <c r="G479" s="7">
        <f>'CUENTA T FONDO 100'!IX126</f>
        <v>0</v>
      </c>
      <c r="H479" s="7">
        <f>'CUENTA T VS'!IX106</f>
        <v>0</v>
      </c>
      <c r="I479" s="7">
        <f t="shared" si="22"/>
        <v>0</v>
      </c>
      <c r="J479" s="6">
        <f>I479/$I$25</f>
        <v>0</v>
      </c>
    </row>
    <row r="480" spans="1:10" x14ac:dyDescent="0.2">
      <c r="A480" s="18">
        <v>2</v>
      </c>
      <c r="B480" s="15">
        <v>7</v>
      </c>
      <c r="C480" s="15">
        <v>2</v>
      </c>
      <c r="D480" s="15">
        <v>4</v>
      </c>
      <c r="E480" s="14"/>
      <c r="F480" s="13" t="s">
        <v>91</v>
      </c>
      <c r="G480" s="12">
        <f>+G481</f>
        <v>0</v>
      </c>
      <c r="H480" s="12">
        <f>+H481</f>
        <v>0</v>
      </c>
      <c r="I480" s="12">
        <f t="shared" si="22"/>
        <v>0</v>
      </c>
      <c r="J480" s="11"/>
    </row>
    <row r="481" spans="1:10" x14ac:dyDescent="0.2">
      <c r="A481" s="17">
        <v>2</v>
      </c>
      <c r="B481" s="9">
        <v>7</v>
      </c>
      <c r="C481" s="9">
        <v>2</v>
      </c>
      <c r="D481" s="9">
        <v>4</v>
      </c>
      <c r="E481" s="9" t="s">
        <v>80</v>
      </c>
      <c r="F481" s="8" t="s">
        <v>91</v>
      </c>
      <c r="G481" s="7">
        <f>'CUENTA T FONDO 100'!IY126</f>
        <v>0</v>
      </c>
      <c r="H481" s="7">
        <f>'CUENTA T VS'!IY106</f>
        <v>0</v>
      </c>
      <c r="I481" s="7">
        <f t="shared" si="22"/>
        <v>0</v>
      </c>
      <c r="J481" s="6">
        <f>I481/$I$25</f>
        <v>0</v>
      </c>
    </row>
    <row r="482" spans="1:10" x14ac:dyDescent="0.2">
      <c r="A482" s="18">
        <v>2</v>
      </c>
      <c r="B482" s="15">
        <v>7</v>
      </c>
      <c r="C482" s="15">
        <v>2</v>
      </c>
      <c r="D482" s="15">
        <v>5</v>
      </c>
      <c r="E482" s="14"/>
      <c r="F482" s="13" t="s">
        <v>90</v>
      </c>
      <c r="G482" s="12">
        <f>+G483</f>
        <v>0</v>
      </c>
      <c r="H482" s="12">
        <f>+H483</f>
        <v>0</v>
      </c>
      <c r="I482" s="12">
        <f t="shared" si="22"/>
        <v>0</v>
      </c>
      <c r="J482" s="11"/>
    </row>
    <row r="483" spans="1:10" x14ac:dyDescent="0.2">
      <c r="A483" s="17">
        <v>2</v>
      </c>
      <c r="B483" s="9">
        <v>7</v>
      </c>
      <c r="C483" s="9">
        <v>2</v>
      </c>
      <c r="D483" s="9">
        <v>5</v>
      </c>
      <c r="E483" s="9" t="s">
        <v>80</v>
      </c>
      <c r="F483" s="8" t="s">
        <v>90</v>
      </c>
      <c r="G483" s="7">
        <f>'CUENTA T FONDO 100'!IZ126</f>
        <v>0</v>
      </c>
      <c r="H483" s="7">
        <f>'CUENTA T VS'!IZ106</f>
        <v>0</v>
      </c>
      <c r="I483" s="7">
        <f t="shared" si="22"/>
        <v>0</v>
      </c>
      <c r="J483" s="6">
        <f>I483/$I$25</f>
        <v>0</v>
      </c>
    </row>
    <row r="484" spans="1:10" x14ac:dyDescent="0.2">
      <c r="A484" s="18">
        <v>2</v>
      </c>
      <c r="B484" s="15">
        <v>7</v>
      </c>
      <c r="C484" s="15">
        <v>2</v>
      </c>
      <c r="D484" s="15">
        <v>6</v>
      </c>
      <c r="E484" s="14"/>
      <c r="F484" s="13" t="s">
        <v>89</v>
      </c>
      <c r="G484" s="12">
        <f>+G485</f>
        <v>0</v>
      </c>
      <c r="H484" s="12">
        <f>+H485</f>
        <v>0</v>
      </c>
      <c r="I484" s="12">
        <f t="shared" si="22"/>
        <v>0</v>
      </c>
      <c r="J484" s="11"/>
    </row>
    <row r="485" spans="1:10" x14ac:dyDescent="0.2">
      <c r="A485" s="17">
        <v>2</v>
      </c>
      <c r="B485" s="9">
        <v>7</v>
      </c>
      <c r="C485" s="9">
        <v>2</v>
      </c>
      <c r="D485" s="9">
        <v>6</v>
      </c>
      <c r="E485" s="9" t="s">
        <v>80</v>
      </c>
      <c r="F485" s="8" t="s">
        <v>89</v>
      </c>
      <c r="G485" s="7">
        <f>'CUENTA T FONDO 100'!JA126</f>
        <v>0</v>
      </c>
      <c r="H485" s="7">
        <f>'CUENTA T VS'!JA106</f>
        <v>0</v>
      </c>
      <c r="I485" s="7">
        <f t="shared" si="22"/>
        <v>0</v>
      </c>
      <c r="J485" s="6">
        <f>I485/$I$25</f>
        <v>0</v>
      </c>
    </row>
    <row r="486" spans="1:10" x14ac:dyDescent="0.2">
      <c r="A486" s="18">
        <v>2</v>
      </c>
      <c r="B486" s="15">
        <v>7</v>
      </c>
      <c r="C486" s="15">
        <v>2</v>
      </c>
      <c r="D486" s="15">
        <v>7</v>
      </c>
      <c r="E486" s="14"/>
      <c r="F486" s="13" t="s">
        <v>88</v>
      </c>
      <c r="G486" s="12">
        <f>+G487</f>
        <v>0</v>
      </c>
      <c r="H486" s="12">
        <f>+H487</f>
        <v>0</v>
      </c>
      <c r="I486" s="12">
        <f t="shared" si="22"/>
        <v>0</v>
      </c>
      <c r="J486" s="11"/>
    </row>
    <row r="487" spans="1:10" x14ac:dyDescent="0.2">
      <c r="A487" s="17">
        <v>2</v>
      </c>
      <c r="B487" s="9">
        <v>7</v>
      </c>
      <c r="C487" s="9">
        <v>2</v>
      </c>
      <c r="D487" s="9">
        <v>7</v>
      </c>
      <c r="E487" s="9" t="s">
        <v>80</v>
      </c>
      <c r="F487" s="8" t="s">
        <v>88</v>
      </c>
      <c r="G487" s="7">
        <f>'CUENTA T FONDO 100'!JB126</f>
        <v>0</v>
      </c>
      <c r="H487" s="7">
        <f>'CUENTA T VS'!JB106</f>
        <v>0</v>
      </c>
      <c r="I487" s="7">
        <f t="shared" si="22"/>
        <v>0</v>
      </c>
      <c r="J487" s="6">
        <f>I487/$I$25</f>
        <v>0</v>
      </c>
    </row>
    <row r="488" spans="1:10" x14ac:dyDescent="0.2">
      <c r="A488" s="18">
        <v>2</v>
      </c>
      <c r="B488" s="15">
        <v>7</v>
      </c>
      <c r="C488" s="15">
        <v>2</v>
      </c>
      <c r="D488" s="15">
        <v>8</v>
      </c>
      <c r="E488" s="14"/>
      <c r="F488" s="13" t="s">
        <v>87</v>
      </c>
      <c r="G488" s="12">
        <f>+G489</f>
        <v>0</v>
      </c>
      <c r="H488" s="12">
        <f>+H489</f>
        <v>0</v>
      </c>
      <c r="I488" s="12">
        <f t="shared" si="22"/>
        <v>0</v>
      </c>
      <c r="J488" s="11"/>
    </row>
    <row r="489" spans="1:10" x14ac:dyDescent="0.2">
      <c r="A489" s="17">
        <v>2</v>
      </c>
      <c r="B489" s="9">
        <v>7</v>
      </c>
      <c r="C489" s="9">
        <v>2</v>
      </c>
      <c r="D489" s="9">
        <v>8</v>
      </c>
      <c r="E489" s="9" t="s">
        <v>80</v>
      </c>
      <c r="F489" s="8" t="s">
        <v>87</v>
      </c>
      <c r="G489" s="7">
        <f>'CUENTA T FONDO 100'!JC126</f>
        <v>0</v>
      </c>
      <c r="H489" s="7">
        <f>'CUENTA T VS'!JC106</f>
        <v>0</v>
      </c>
      <c r="I489" s="7">
        <f t="shared" si="22"/>
        <v>0</v>
      </c>
      <c r="J489" s="6">
        <f>I489/$I$25</f>
        <v>0</v>
      </c>
    </row>
    <row r="490" spans="1:10" ht="25.5" x14ac:dyDescent="0.2">
      <c r="A490" s="18">
        <v>2</v>
      </c>
      <c r="B490" s="15">
        <v>7</v>
      </c>
      <c r="C490" s="15">
        <v>2</v>
      </c>
      <c r="D490" s="15">
        <v>9</v>
      </c>
      <c r="E490" s="14"/>
      <c r="F490" s="13" t="s">
        <v>86</v>
      </c>
      <c r="G490" s="12">
        <f>+G491</f>
        <v>0</v>
      </c>
      <c r="H490" s="12">
        <f>+H491</f>
        <v>0</v>
      </c>
      <c r="I490" s="12">
        <f t="shared" si="22"/>
        <v>0</v>
      </c>
      <c r="J490" s="11"/>
    </row>
    <row r="491" spans="1:10" ht="25.5" x14ac:dyDescent="0.2">
      <c r="A491" s="17">
        <v>2</v>
      </c>
      <c r="B491" s="9">
        <v>7</v>
      </c>
      <c r="C491" s="9">
        <v>2</v>
      </c>
      <c r="D491" s="9">
        <v>9</v>
      </c>
      <c r="E491" s="9" t="s">
        <v>80</v>
      </c>
      <c r="F491" s="8" t="s">
        <v>86</v>
      </c>
      <c r="G491" s="7">
        <f>'CUENTA T FONDO 100'!JD126</f>
        <v>0</v>
      </c>
      <c r="H491" s="7">
        <f>'CUENTA T VS'!JD106</f>
        <v>0</v>
      </c>
      <c r="I491" s="7">
        <f t="shared" si="22"/>
        <v>0</v>
      </c>
      <c r="J491" s="6">
        <f>I491/$I$25</f>
        <v>0</v>
      </c>
    </row>
    <row r="492" spans="1:10" x14ac:dyDescent="0.2">
      <c r="A492" s="23">
        <v>2</v>
      </c>
      <c r="B492" s="22">
        <v>7</v>
      </c>
      <c r="C492" s="22">
        <v>3</v>
      </c>
      <c r="D492" s="22"/>
      <c r="E492" s="22"/>
      <c r="F492" s="21" t="s">
        <v>85</v>
      </c>
      <c r="G492" s="20">
        <f>+G493+G495</f>
        <v>0</v>
      </c>
      <c r="H492" s="20">
        <f>+H493+H495</f>
        <v>0</v>
      </c>
      <c r="I492" s="20">
        <f t="shared" si="22"/>
        <v>0</v>
      </c>
      <c r="J492" s="19"/>
    </row>
    <row r="493" spans="1:10" ht="25.5" x14ac:dyDescent="0.2">
      <c r="A493" s="18">
        <v>2</v>
      </c>
      <c r="B493" s="15">
        <v>7</v>
      </c>
      <c r="C493" s="15">
        <v>3</v>
      </c>
      <c r="D493" s="15">
        <v>1</v>
      </c>
      <c r="E493" s="14"/>
      <c r="F493" s="13" t="s">
        <v>84</v>
      </c>
      <c r="G493" s="12">
        <f>+G494</f>
        <v>0</v>
      </c>
      <c r="H493" s="12">
        <f>+H494</f>
        <v>0</v>
      </c>
      <c r="I493" s="12">
        <f t="shared" si="22"/>
        <v>0</v>
      </c>
      <c r="J493" s="11"/>
    </row>
    <row r="494" spans="1:10" ht="25.5" x14ac:dyDescent="0.2">
      <c r="A494" s="17">
        <v>2</v>
      </c>
      <c r="B494" s="9">
        <v>7</v>
      </c>
      <c r="C494" s="9">
        <v>3</v>
      </c>
      <c r="D494" s="9">
        <v>1</v>
      </c>
      <c r="E494" s="9" t="s">
        <v>80</v>
      </c>
      <c r="F494" s="8" t="s">
        <v>84</v>
      </c>
      <c r="G494" s="7">
        <f>'CUENTA T FONDO 100'!JE126</f>
        <v>0</v>
      </c>
      <c r="H494" s="7">
        <f>'CUENTA T VS'!JE106</f>
        <v>0</v>
      </c>
      <c r="I494" s="7">
        <f t="shared" si="22"/>
        <v>0</v>
      </c>
      <c r="J494" s="6">
        <f>I494/$I$25</f>
        <v>0</v>
      </c>
    </row>
    <row r="495" spans="1:10" ht="25.5" x14ac:dyDescent="0.2">
      <c r="A495" s="18">
        <v>2</v>
      </c>
      <c r="B495" s="15">
        <v>7</v>
      </c>
      <c r="C495" s="15">
        <v>3</v>
      </c>
      <c r="D495" s="15">
        <v>2</v>
      </c>
      <c r="E495" s="14"/>
      <c r="F495" s="13" t="s">
        <v>83</v>
      </c>
      <c r="G495" s="12">
        <f>+G496</f>
        <v>0</v>
      </c>
      <c r="H495" s="12">
        <f>+H496</f>
        <v>0</v>
      </c>
      <c r="I495" s="12">
        <f t="shared" si="22"/>
        <v>0</v>
      </c>
      <c r="J495" s="11"/>
    </row>
    <row r="496" spans="1:10" ht="25.5" x14ac:dyDescent="0.2">
      <c r="A496" s="17">
        <v>2</v>
      </c>
      <c r="B496" s="9">
        <v>7</v>
      </c>
      <c r="C496" s="9">
        <v>3</v>
      </c>
      <c r="D496" s="9">
        <v>2</v>
      </c>
      <c r="E496" s="9" t="s">
        <v>80</v>
      </c>
      <c r="F496" s="8" t="s">
        <v>83</v>
      </c>
      <c r="G496" s="7">
        <f>'CUENTA T FONDO 100'!JF126</f>
        <v>0</v>
      </c>
      <c r="H496" s="7">
        <f>'CUENTA T VS'!JF106</f>
        <v>0</v>
      </c>
      <c r="I496" s="7">
        <f t="shared" si="22"/>
        <v>0</v>
      </c>
      <c r="J496" s="6">
        <f>I496/$I$25</f>
        <v>0</v>
      </c>
    </row>
    <row r="497" spans="1:10" ht="25.5" x14ac:dyDescent="0.2">
      <c r="A497" s="23">
        <v>2</v>
      </c>
      <c r="B497" s="22">
        <v>7</v>
      </c>
      <c r="C497" s="22">
        <v>4</v>
      </c>
      <c r="D497" s="22"/>
      <c r="E497" s="22"/>
      <c r="F497" s="21" t="s">
        <v>82</v>
      </c>
      <c r="G497" s="20">
        <f>+G498+G500</f>
        <v>0</v>
      </c>
      <c r="H497" s="20">
        <f>+H498+H500</f>
        <v>0</v>
      </c>
      <c r="I497" s="20">
        <f t="shared" si="22"/>
        <v>0</v>
      </c>
      <c r="J497" s="19"/>
    </row>
    <row r="498" spans="1:10" ht="25.5" x14ac:dyDescent="0.2">
      <c r="A498" s="18">
        <v>2</v>
      </c>
      <c r="B498" s="15">
        <v>7</v>
      </c>
      <c r="C498" s="15">
        <v>4</v>
      </c>
      <c r="D498" s="15">
        <v>1</v>
      </c>
      <c r="E498" s="14"/>
      <c r="F498" s="13" t="s">
        <v>81</v>
      </c>
      <c r="G498" s="12">
        <f>+G499</f>
        <v>0</v>
      </c>
      <c r="H498" s="12">
        <f>+H499</f>
        <v>0</v>
      </c>
      <c r="I498" s="12">
        <f t="shared" si="22"/>
        <v>0</v>
      </c>
      <c r="J498" s="11"/>
    </row>
    <row r="499" spans="1:10" ht="25.5" x14ac:dyDescent="0.2">
      <c r="A499" s="17">
        <v>2</v>
      </c>
      <c r="B499" s="9">
        <v>7</v>
      </c>
      <c r="C499" s="9">
        <v>4</v>
      </c>
      <c r="D499" s="9">
        <v>1</v>
      </c>
      <c r="E499" s="9" t="s">
        <v>80</v>
      </c>
      <c r="F499" s="8" t="s">
        <v>81</v>
      </c>
      <c r="G499" s="7">
        <f>'CUENTA T FONDO 100'!JG126</f>
        <v>0</v>
      </c>
      <c r="H499" s="7">
        <f>'CUENTA T VS'!JG106</f>
        <v>0</v>
      </c>
      <c r="I499" s="7">
        <f t="shared" si="22"/>
        <v>0</v>
      </c>
      <c r="J499" s="6">
        <f>I499/$I$25</f>
        <v>0</v>
      </c>
    </row>
    <row r="500" spans="1:10" ht="25.5" x14ac:dyDescent="0.2">
      <c r="A500" s="16">
        <v>2</v>
      </c>
      <c r="B500" s="15">
        <v>7</v>
      </c>
      <c r="C500" s="15">
        <v>4</v>
      </c>
      <c r="D500" s="15">
        <v>2</v>
      </c>
      <c r="E500" s="14"/>
      <c r="F500" s="13" t="s">
        <v>79</v>
      </c>
      <c r="G500" s="12">
        <f>+G501</f>
        <v>0</v>
      </c>
      <c r="H500" s="12">
        <f>+H501</f>
        <v>0</v>
      </c>
      <c r="I500" s="12">
        <f t="shared" si="22"/>
        <v>0</v>
      </c>
      <c r="J500" s="11"/>
    </row>
    <row r="501" spans="1:10" ht="25.5" x14ac:dyDescent="0.2">
      <c r="A501" s="10">
        <v>2</v>
      </c>
      <c r="B501" s="9">
        <v>7</v>
      </c>
      <c r="C501" s="9">
        <v>4</v>
      </c>
      <c r="D501" s="9">
        <v>2</v>
      </c>
      <c r="E501" s="9" t="s">
        <v>80</v>
      </c>
      <c r="F501" s="8" t="s">
        <v>79</v>
      </c>
      <c r="G501" s="7">
        <f>'CUENTA T FONDO 100'!JH126</f>
        <v>0</v>
      </c>
      <c r="H501" s="7">
        <f>'CUENTA T VS'!JH106</f>
        <v>0</v>
      </c>
      <c r="I501" s="7">
        <f t="shared" si="22"/>
        <v>0</v>
      </c>
      <c r="J501" s="6">
        <f>I501/$I$25</f>
        <v>0</v>
      </c>
    </row>
    <row r="502" spans="1:10" ht="1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5"/>
    </row>
    <row r="503" spans="1:10" ht="1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L23:P23"/>
    <mergeCell ref="A2:H2"/>
    <mergeCell ref="A3:J3"/>
    <mergeCell ref="A4:J4"/>
    <mergeCell ref="A5:J5"/>
    <mergeCell ref="A6:J6"/>
    <mergeCell ref="A7:J7"/>
    <mergeCell ref="A21:E21"/>
    <mergeCell ref="G21:H21"/>
    <mergeCell ref="A22:E22"/>
    <mergeCell ref="J22:J24"/>
    <mergeCell ref="A23:A24"/>
    <mergeCell ref="B23:B24"/>
    <mergeCell ref="C23:C24"/>
    <mergeCell ref="D23:D24"/>
    <mergeCell ref="E23:E24"/>
    <mergeCell ref="I22:I24"/>
    <mergeCell ref="G23:G24"/>
    <mergeCell ref="H23:H24"/>
    <mergeCell ref="F22:F24"/>
    <mergeCell ref="G22:H22"/>
  </mergeCells>
  <phoneticPr fontId="44" type="noConversion"/>
  <printOptions horizontalCentered="1"/>
  <pageMargins left="0.70866141732283472" right="0.70866141732283472" top="0.15748031496062992" bottom="0" header="0.11811023622047245" footer="0"/>
  <pageSetup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opLeftCell="A10" zoomScale="90" zoomScaleNormal="90" workbookViewId="0">
      <selection activeCell="G20" sqref="G20"/>
    </sheetView>
  </sheetViews>
  <sheetFormatPr baseColWidth="10" defaultColWidth="11.42578125" defaultRowHeight="12.75" x14ac:dyDescent="0.2"/>
  <cols>
    <col min="1" max="1" width="64.42578125" style="3" customWidth="1"/>
    <col min="2" max="2" width="18.7109375" style="3" customWidth="1"/>
    <col min="3" max="3" width="18" style="3" customWidth="1"/>
    <col min="4" max="4" width="17.7109375" style="3" customWidth="1"/>
    <col min="5" max="5" width="21" style="3" customWidth="1"/>
    <col min="6" max="16384" width="11.42578125" style="3"/>
  </cols>
  <sheetData>
    <row r="1" spans="1:5" ht="33" x14ac:dyDescent="0.45">
      <c r="A1" s="448" t="s">
        <v>77</v>
      </c>
      <c r="B1" s="448"/>
      <c r="C1" s="448"/>
      <c r="D1" s="448"/>
      <c r="E1" s="448"/>
    </row>
    <row r="2" spans="1:5" ht="20.25" x14ac:dyDescent="0.3">
      <c r="A2" s="449" t="str">
        <f>'CONS. FUENTES FINAN'!A6</f>
        <v>HOSPITAL MATERNO INFANTIL SAN LORENZO DE LOS MINA</v>
      </c>
      <c r="B2" s="449"/>
      <c r="C2" s="449"/>
      <c r="D2" s="449"/>
      <c r="E2" s="449"/>
    </row>
    <row r="3" spans="1:5" ht="15.75" x14ac:dyDescent="0.25">
      <c r="A3" s="450" t="s">
        <v>424</v>
      </c>
      <c r="B3" s="450"/>
      <c r="C3" s="450"/>
      <c r="D3" s="450"/>
      <c r="E3" s="450"/>
    </row>
    <row r="4" spans="1:5" ht="15.75" x14ac:dyDescent="0.25">
      <c r="A4" s="450"/>
      <c r="B4" s="450"/>
      <c r="C4" s="450"/>
      <c r="D4" s="450"/>
      <c r="E4" s="450"/>
    </row>
    <row r="5" spans="1:5" ht="16.5" thickBot="1" x14ac:dyDescent="0.3">
      <c r="A5" s="117"/>
      <c r="B5" s="117"/>
      <c r="C5" s="117"/>
      <c r="D5" s="117"/>
      <c r="E5" s="117"/>
    </row>
    <row r="6" spans="1:5" x14ac:dyDescent="0.2">
      <c r="A6" s="451" t="s">
        <v>372</v>
      </c>
      <c r="B6" s="453" t="s">
        <v>642</v>
      </c>
      <c r="C6" s="455" t="s">
        <v>371</v>
      </c>
      <c r="D6" s="451" t="s">
        <v>328</v>
      </c>
      <c r="E6" s="451" t="s">
        <v>72</v>
      </c>
    </row>
    <row r="7" spans="1:5" ht="20.25" customHeight="1" thickBot="1" x14ac:dyDescent="0.25">
      <c r="A7" s="452"/>
      <c r="B7" s="454"/>
      <c r="C7" s="456"/>
      <c r="D7" s="452"/>
      <c r="E7" s="452"/>
    </row>
    <row r="8" spans="1:5" ht="20.25" x14ac:dyDescent="0.25">
      <c r="A8" s="113" t="s">
        <v>370</v>
      </c>
      <c r="B8" s="112"/>
      <c r="C8" s="112"/>
      <c r="D8" s="111"/>
      <c r="E8" s="110"/>
    </row>
    <row r="9" spans="1:5" ht="18.75" x14ac:dyDescent="0.3">
      <c r="A9" s="116" t="s">
        <v>369</v>
      </c>
      <c r="B9" s="105">
        <f>'CONS. FUENTES FINAN'!G245+'CONS. FUENTES FINAN'!G315</f>
        <v>8317198.8399999999</v>
      </c>
      <c r="C9" s="105">
        <f>'CONS. FUENTES FINAN'!H245+'CONS. FUENTES FINAN'!H315</f>
        <v>238984.2</v>
      </c>
      <c r="D9" s="105">
        <f>SUM(B9:C9)</f>
        <v>8556183.0399999991</v>
      </c>
      <c r="E9" s="107">
        <f>+D9/D12</f>
        <v>0.76593675744284018</v>
      </c>
    </row>
    <row r="10" spans="1:5" ht="18.75" x14ac:dyDescent="0.3">
      <c r="A10" s="108" t="s">
        <v>368</v>
      </c>
      <c r="B10" s="105">
        <f>'CONS. FUENTES FINAN'!G302</f>
        <v>113956.7</v>
      </c>
      <c r="C10" s="105">
        <f>'CONS. FUENTES FINAN'!H302</f>
        <v>0</v>
      </c>
      <c r="D10" s="105">
        <f>SUM(B10:C10)</f>
        <v>113956.7</v>
      </c>
      <c r="E10" s="107">
        <f>+D10/D12</f>
        <v>1.0201233994041169E-2</v>
      </c>
    </row>
    <row r="11" spans="1:5" ht="18.75" x14ac:dyDescent="0.3">
      <c r="A11" s="108" t="s">
        <v>367</v>
      </c>
      <c r="B11" s="105">
        <f>'CONS. FUENTES FINAN'!G296+'CONS. FUENTES FINAN'!G297+'CONS. FUENTES FINAN'!G298</f>
        <v>1653884.2999999998</v>
      </c>
      <c r="C11" s="105">
        <f>'CONS. FUENTES FINAN'!H296+'CONS. FUENTES FINAN'!H297+'CONS. FUENTES FINAN'!H298</f>
        <v>846850</v>
      </c>
      <c r="D11" s="105">
        <f>SUM(B11:C11)</f>
        <v>2500734.2999999998</v>
      </c>
      <c r="E11" s="107">
        <f>+D11/D12</f>
        <v>0.22386200856311866</v>
      </c>
    </row>
    <row r="12" spans="1:5" ht="18.75" x14ac:dyDescent="0.3">
      <c r="A12" s="115" t="s">
        <v>348</v>
      </c>
      <c r="B12" s="101">
        <f>SUM(B9:B11)</f>
        <v>10085039.84</v>
      </c>
      <c r="C12" s="101">
        <f>SUM(C9:C11)</f>
        <v>1085834.2</v>
      </c>
      <c r="D12" s="101">
        <f>SUM(D9:D11)</f>
        <v>11170874.039999999</v>
      </c>
      <c r="E12" s="114">
        <f>+D12/D39</f>
        <v>0.11114205283532054</v>
      </c>
    </row>
    <row r="13" spans="1:5" ht="20.25" x14ac:dyDescent="0.25">
      <c r="A13" s="113" t="s">
        <v>366</v>
      </c>
      <c r="B13" s="112"/>
      <c r="C13" s="112"/>
      <c r="D13" s="111"/>
      <c r="E13" s="110"/>
    </row>
    <row r="14" spans="1:5" ht="18.75" x14ac:dyDescent="0.3">
      <c r="A14" s="108" t="s">
        <v>365</v>
      </c>
      <c r="B14" s="105">
        <f>'CONS. FUENTES FINAN'!G157+'CONS. FUENTES FINAN'!G188+'CONS. FUENTES FINAN'!G223+'CONS. FUENTES FINAN'!G252+'CONS. FUENTES FINAN'!G254+'CONS. FUENTES FINAN'!G256+'CONS. FUENTES FINAN'!G258+'CONS. FUENTES FINAN'!G261+'CONS. FUENTES FINAN'!G292+'CONS. FUENTES FINAN'!G293+'CONS. FUENTES FINAN'!G299+'CONS. FUENTES FINAN'!G300+'CONS. FUENTES FINAN'!G301+'CONS. FUENTES FINAN'!G324</f>
        <v>1717276.9500000002</v>
      </c>
      <c r="C14" s="105">
        <f>'CONS. FUENTES FINAN'!H157+'CONS. FUENTES FINAN'!H188+'CONS. FUENTES FINAN'!H223+'CONS. FUENTES FINAN'!H252+'CONS. FUENTES FINAN'!H254+'CONS. FUENTES FINAN'!H256+'CONS. FUENTES FINAN'!H258+'CONS. FUENTES FINAN'!H261+'CONS. FUENTES FINAN'!H292+'CONS. FUENTES FINAN'!H293+'CONS. FUENTES FINAN'!H299+'CONS. FUENTES FINAN'!H300+'CONS. FUENTES FINAN'!H301+'CONS. FUENTES FINAN'!H324</f>
        <v>297915.53999999998</v>
      </c>
      <c r="D14" s="104">
        <f>SUM(B14:C14)</f>
        <v>2015192.4900000002</v>
      </c>
      <c r="E14" s="107">
        <f>+D14/D16</f>
        <v>0.93123776544395576</v>
      </c>
    </row>
    <row r="15" spans="1:5" ht="18.75" x14ac:dyDescent="0.3">
      <c r="A15" s="108" t="s">
        <v>364</v>
      </c>
      <c r="B15" s="105">
        <f>'CONS. FUENTES FINAN'!G320</f>
        <v>148801.03</v>
      </c>
      <c r="C15" s="105">
        <f>'CONS. FUENTES FINAN'!H320</f>
        <v>0</v>
      </c>
      <c r="D15" s="104">
        <f>SUM(B15:C15)</f>
        <v>148801.03</v>
      </c>
      <c r="E15" s="107">
        <f>+D15/D16</f>
        <v>6.8762234556044327E-2</v>
      </c>
    </row>
    <row r="16" spans="1:5" ht="18.75" x14ac:dyDescent="0.3">
      <c r="A16" s="115" t="s">
        <v>348</v>
      </c>
      <c r="B16" s="101">
        <f>SUM(B14:B15)</f>
        <v>1866077.9800000002</v>
      </c>
      <c r="C16" s="101">
        <f>SUM(C14:C15)</f>
        <v>297915.53999999998</v>
      </c>
      <c r="D16" s="101">
        <f>SUM(D14:D15)</f>
        <v>2163993.52</v>
      </c>
      <c r="E16" s="114">
        <f>+D16/D39</f>
        <v>2.1530157915479575E-2</v>
      </c>
    </row>
    <row r="17" spans="1:5" ht="20.25" x14ac:dyDescent="0.25">
      <c r="A17" s="113" t="s">
        <v>363</v>
      </c>
      <c r="B17" s="112"/>
      <c r="C17" s="112"/>
      <c r="D17" s="111"/>
      <c r="E17" s="110"/>
    </row>
    <row r="18" spans="1:5" ht="18.75" x14ac:dyDescent="0.3">
      <c r="A18" s="109" t="s">
        <v>362</v>
      </c>
      <c r="B18" s="105">
        <f>'CONS. FUENTES FINAN'!G26</f>
        <v>66630550.850000001</v>
      </c>
      <c r="C18" s="105">
        <f>'CONS. FUENTES FINAN'!H26</f>
        <v>0</v>
      </c>
      <c r="D18" s="104">
        <f t="shared" ref="D18:D33" si="0">SUM(B18:C18)</f>
        <v>66630550.850000001</v>
      </c>
      <c r="E18" s="107">
        <f>+D18/D34</f>
        <v>0.86908703091615702</v>
      </c>
    </row>
    <row r="19" spans="1:5" ht="18.75" x14ac:dyDescent="0.3">
      <c r="A19" s="108" t="s">
        <v>361</v>
      </c>
      <c r="B19" s="105">
        <f>'CONS. FUENTES FINAN'!G91+'CONS. FUENTES FINAN'!G93+'CONS. FUENTES FINAN'!G95+'CONS. FUENTES FINAN'!G97</f>
        <v>0</v>
      </c>
      <c r="C19" s="105">
        <f>'CONS. FUENTES FINAN'!H91+'CONS. FUENTES FINAN'!H93+'CONS. FUENTES FINAN'!H95+'CONS. FUENTES FINAN'!H97</f>
        <v>313463.42</v>
      </c>
      <c r="D19" s="104">
        <f t="shared" si="0"/>
        <v>313463.42</v>
      </c>
      <c r="E19" s="107">
        <f>+D19/D34</f>
        <v>4.0886198525045556E-3</v>
      </c>
    </row>
    <row r="20" spans="1:5" ht="18.75" x14ac:dyDescent="0.3">
      <c r="A20" s="108" t="s">
        <v>422</v>
      </c>
      <c r="B20" s="104">
        <f>'CONS. FUENTES FINAN'!G99+'CONS. FUENTES FINAN'!G102+'CONS. FUENTES FINAN'!G104</f>
        <v>60535</v>
      </c>
      <c r="C20" s="104">
        <f>'CONS. FUENTES FINAN'!H99+'CONS. FUENTES FINAN'!H102+'CONS. FUENTES FINAN'!H104</f>
        <v>785000</v>
      </c>
      <c r="D20" s="104">
        <f t="shared" si="0"/>
        <v>845535</v>
      </c>
      <c r="E20" s="107">
        <f>+D20/D34</f>
        <v>1.1028627158433477E-2</v>
      </c>
    </row>
    <row r="21" spans="1:5" ht="18.75" x14ac:dyDescent="0.3">
      <c r="A21" s="108" t="s">
        <v>360</v>
      </c>
      <c r="B21" s="104">
        <f>'CONS. FUENTES FINAN'!G111</f>
        <v>0</v>
      </c>
      <c r="C21" s="104">
        <f>'CONS. FUENTES FINAN'!H111</f>
        <v>0</v>
      </c>
      <c r="D21" s="104">
        <f t="shared" si="0"/>
        <v>0</v>
      </c>
      <c r="E21" s="107">
        <f>+D21/D34</f>
        <v>0</v>
      </c>
    </row>
    <row r="22" spans="1:5" ht="18.75" x14ac:dyDescent="0.3">
      <c r="A22" s="108" t="s">
        <v>359</v>
      </c>
      <c r="B22" s="104">
        <f>'CONS. FUENTES FINAN'!G116</f>
        <v>0</v>
      </c>
      <c r="C22" s="104">
        <f>'CONS. FUENTES FINAN'!H116</f>
        <v>76000</v>
      </c>
      <c r="D22" s="104">
        <f t="shared" si="0"/>
        <v>76000</v>
      </c>
      <c r="E22" s="107">
        <f>+D22/D34</f>
        <v>9.9129623734197205E-4</v>
      </c>
    </row>
    <row r="23" spans="1:5" ht="18.75" x14ac:dyDescent="0.3">
      <c r="A23" s="108" t="s">
        <v>358</v>
      </c>
      <c r="B23" s="104">
        <f>'CONS. FUENTES FINAN'!G125</f>
        <v>0</v>
      </c>
      <c r="C23" s="104">
        <f>'CONS. FUENTES FINAN'!H125</f>
        <v>529650.64</v>
      </c>
      <c r="D23" s="104">
        <f t="shared" si="0"/>
        <v>529650.64</v>
      </c>
      <c r="E23" s="107">
        <f>+D23/D34</f>
        <v>6.9084300860232546E-3</v>
      </c>
    </row>
    <row r="24" spans="1:5" ht="18.75" x14ac:dyDescent="0.3">
      <c r="A24" s="108" t="s">
        <v>357</v>
      </c>
      <c r="B24" s="104">
        <f>'CONS. FUENTES FINAN'!G182</f>
        <v>0</v>
      </c>
      <c r="C24" s="104">
        <f>'CONS. FUENTES FINAN'!H182</f>
        <v>0</v>
      </c>
      <c r="D24" s="104">
        <f t="shared" si="0"/>
        <v>0</v>
      </c>
      <c r="E24" s="107">
        <f>+D24/D34</f>
        <v>0</v>
      </c>
    </row>
    <row r="25" spans="1:5" ht="18.75" x14ac:dyDescent="0.3">
      <c r="A25" s="108" t="s">
        <v>356</v>
      </c>
      <c r="B25" s="105">
        <f>'CONS. FUENTES FINAN'!G109+'CONS. FUENTES FINAN'!G312</f>
        <v>40253.039999999994</v>
      </c>
      <c r="C25" s="105">
        <f>'CONS. FUENTES FINAN'!H109+'CONS. FUENTES FINAN'!H312</f>
        <v>0</v>
      </c>
      <c r="D25" s="104">
        <f t="shared" si="0"/>
        <v>40253.039999999994</v>
      </c>
      <c r="E25" s="107">
        <f>+D25/D34</f>
        <v>5.2503535649441957E-4</v>
      </c>
    </row>
    <row r="26" spans="1:5" ht="18.75" x14ac:dyDescent="0.3">
      <c r="A26" s="108" t="s">
        <v>355</v>
      </c>
      <c r="B26" s="104">
        <f>'CONS. FUENTES FINAN'!G208+'CONS. FUENTES FINAN'!G214+'CONS. FUENTES FINAN'!G217+'CONS. FUENTES FINAN'!G219</f>
        <v>1657538.8</v>
      </c>
      <c r="C26" s="104">
        <f>'CONS. FUENTES FINAN'!H208+'CONS. FUENTES FINAN'!H214+'CONS. FUENTES FINAN'!H217+'CONS. FUENTES FINAN'!H219</f>
        <v>355075</v>
      </c>
      <c r="D26" s="104">
        <f t="shared" si="0"/>
        <v>2012613.8</v>
      </c>
      <c r="E26" s="107">
        <f>+D26/D34</f>
        <v>2.6251269567928004E-2</v>
      </c>
    </row>
    <row r="27" spans="1:5" ht="18.75" x14ac:dyDescent="0.3">
      <c r="A27" s="108" t="s">
        <v>354</v>
      </c>
      <c r="B27" s="104">
        <f>'CONS. FUENTES FINAN'!G232</f>
        <v>765138.96</v>
      </c>
      <c r="C27" s="104">
        <f>'CONS. FUENTES FINAN'!H232</f>
        <v>607165</v>
      </c>
      <c r="D27" s="104">
        <f t="shared" si="0"/>
        <v>1372303.96</v>
      </c>
      <c r="E27" s="107">
        <f>+D27/D34</f>
        <v>1.7899470421545896E-2</v>
      </c>
    </row>
    <row r="28" spans="1:5" ht="18.75" x14ac:dyDescent="0.3">
      <c r="A28" s="108" t="s">
        <v>353</v>
      </c>
      <c r="B28" s="104">
        <f>'CONS. FUENTES FINAN'!G259</f>
        <v>384413.08</v>
      </c>
      <c r="C28" s="104">
        <f>'CONS. FUENTES FINAN'!H259</f>
        <v>0</v>
      </c>
      <c r="D28" s="104">
        <f t="shared" si="0"/>
        <v>384413.08</v>
      </c>
      <c r="E28" s="107">
        <f>+D28/D34</f>
        <v>5.0140426288031378E-3</v>
      </c>
    </row>
    <row r="29" spans="1:5" ht="18.75" x14ac:dyDescent="0.3">
      <c r="A29" s="108" t="s">
        <v>352</v>
      </c>
      <c r="B29" s="104">
        <f>'CONS. FUENTES FINAN'!G288</f>
        <v>1649337.32</v>
      </c>
      <c r="C29" s="104">
        <f>'CONS. FUENTES FINAN'!H288</f>
        <v>172000</v>
      </c>
      <c r="D29" s="104">
        <f t="shared" si="0"/>
        <v>1821337.32</v>
      </c>
      <c r="E29" s="107">
        <f>+D29/D34</f>
        <v>2.375637937166462E-2</v>
      </c>
    </row>
    <row r="30" spans="1:5" ht="18.75" x14ac:dyDescent="0.3">
      <c r="A30" s="108" t="s">
        <v>11</v>
      </c>
      <c r="B30" s="104">
        <f>'CONS. FUENTES FINAN'!G289+'CONS. FUENTES FINAN'!G290</f>
        <v>664800</v>
      </c>
      <c r="C30" s="104">
        <f>'CONS. FUENTES FINAN'!H289+'CONS. FUENTES FINAN'!H290</f>
        <v>0</v>
      </c>
      <c r="D30" s="104">
        <f t="shared" si="0"/>
        <v>664800</v>
      </c>
      <c r="E30" s="107">
        <f>+D30/D34</f>
        <v>8.6712334024334602E-3</v>
      </c>
    </row>
    <row r="31" spans="1:5" ht="18.75" x14ac:dyDescent="0.3">
      <c r="A31" s="108" t="s">
        <v>351</v>
      </c>
      <c r="B31" s="104">
        <f>'CONS. FUENTES FINAN'!G291+'CONS. FUENTES FINAN'!G294</f>
        <v>0</v>
      </c>
      <c r="C31" s="104">
        <f>'CONS. FUENTES FINAN'!H291+'CONS. FUENTES FINAN'!H294</f>
        <v>47073</v>
      </c>
      <c r="D31" s="104">
        <f t="shared" si="0"/>
        <v>47073</v>
      </c>
      <c r="E31" s="107">
        <f>+D31/D34</f>
        <v>6.1399062868945588E-4</v>
      </c>
    </row>
    <row r="32" spans="1:5" ht="18.75" x14ac:dyDescent="0.3">
      <c r="A32" s="108" t="s">
        <v>350</v>
      </c>
      <c r="B32" s="104">
        <f>'CONS. FUENTES FINAN'!G309</f>
        <v>662238.28999999992</v>
      </c>
      <c r="C32" s="104">
        <f>'CONS. FUENTES FINAN'!H309</f>
        <v>98506.4</v>
      </c>
      <c r="D32" s="104">
        <f t="shared" si="0"/>
        <v>760744.69</v>
      </c>
      <c r="E32" s="107">
        <f>+D32/D34</f>
        <v>9.9226756417748006E-3</v>
      </c>
    </row>
    <row r="33" spans="1:5" ht="18.75" x14ac:dyDescent="0.3">
      <c r="A33" s="106" t="s">
        <v>349</v>
      </c>
      <c r="B33" s="105">
        <f>'CONS. FUENTES FINAN'!G89+'CONS. FUENTES FINAN'!G107+'CONS. FUENTES FINAN'!G148+'CONS. FUENTES FINAN'!G180+'CONS. FUENTES FINAN'!G184+'CONS. FUENTES FINAN'!G186+'CONS. FUENTES FINAN'!G192+'CONS. FUENTES FINAN'!G197+'CONS. FUENTES FINAN'!G204+'CONS. FUENTES FINAN'!G225+'CONS. FUENTES FINAN'!G303+'CONS. FUENTES FINAN'!G316+'CONS. FUENTES FINAN'!G318+'CONS. FUENTES FINAN'!G322+'CONS. FUENTES FINAN'!G327+'CONS. FUENTES FINAN'!G330</f>
        <v>453966.13</v>
      </c>
      <c r="C33" s="105">
        <f>'CONS. FUENTES FINAN'!H89+'CONS. FUENTES FINAN'!H107+'CONS. FUENTES FINAN'!H148+'CONS. FUENTES FINAN'!H180+'CONS. FUENTES FINAN'!H184+'CONS. FUENTES FINAN'!H186+'CONS. FUENTES FINAN'!H192+'CONS. FUENTES FINAN'!H197+'CONS. FUENTES FINAN'!H204+'CONS. FUENTES FINAN'!H225+'CONS. FUENTES FINAN'!H303+'CONS. FUENTES FINAN'!H316+'CONS. FUENTES FINAN'!H318+'CONS. FUENTES FINAN'!H322+'CONS. FUENTES FINAN'!H327+'CONS. FUENTES FINAN'!H330</f>
        <v>714589</v>
      </c>
      <c r="D33" s="104">
        <f t="shared" si="0"/>
        <v>1168555.1299999999</v>
      </c>
      <c r="E33" s="107">
        <f>+D33/D34</f>
        <v>1.5241898730206037E-2</v>
      </c>
    </row>
    <row r="34" spans="1:5" ht="18.75" x14ac:dyDescent="0.3">
      <c r="A34" s="115" t="s">
        <v>348</v>
      </c>
      <c r="B34" s="101">
        <f>SUM(B17:B33)</f>
        <v>72968771.469999984</v>
      </c>
      <c r="C34" s="101">
        <f>SUM(C17:C33)</f>
        <v>3698522.46</v>
      </c>
      <c r="D34" s="101">
        <f t="shared" ref="D34" si="1">SUM(D17:D33)</f>
        <v>76667293.929999992</v>
      </c>
      <c r="E34" s="114">
        <f>+D34/D39</f>
        <v>0.76278368211813707</v>
      </c>
    </row>
    <row r="35" spans="1:5" ht="20.25" x14ac:dyDescent="0.25">
      <c r="A35" s="113" t="s">
        <v>421</v>
      </c>
      <c r="B35" s="112"/>
      <c r="C35" s="112"/>
      <c r="D35" s="111"/>
      <c r="E35" s="110"/>
    </row>
    <row r="36" spans="1:5" ht="18.75" x14ac:dyDescent="0.3">
      <c r="A36" s="109" t="s">
        <v>168</v>
      </c>
      <c r="B36" s="105">
        <f>'CONS. FUENTES FINAN'!G336</f>
        <v>6580673.1400000015</v>
      </c>
      <c r="C36" s="105">
        <f>'CONS. FUENTES FINAN'!H336</f>
        <v>3927042.19</v>
      </c>
      <c r="D36" s="105">
        <f>SUM(B36:C36)</f>
        <v>10507715.330000002</v>
      </c>
      <c r="E36" s="103">
        <f>+D36/D38</f>
        <v>1</v>
      </c>
    </row>
    <row r="37" spans="1:5" ht="19.5" thickBot="1" x14ac:dyDescent="0.35">
      <c r="A37" s="126" t="s">
        <v>101</v>
      </c>
      <c r="B37" s="127">
        <f>'CONS. FUENTES FINAN'!G463</f>
        <v>0</v>
      </c>
      <c r="C37" s="127">
        <f>'CONS. FUENTES FINAN'!H463</f>
        <v>0</v>
      </c>
      <c r="D37" s="127">
        <f>SUM(B37:C37)</f>
        <v>0</v>
      </c>
      <c r="E37" s="103">
        <f>+D37/D38</f>
        <v>0</v>
      </c>
    </row>
    <row r="38" spans="1:5" ht="16.5" thickBot="1" x14ac:dyDescent="0.3">
      <c r="A38" s="102" t="s">
        <v>348</v>
      </c>
      <c r="B38" s="128">
        <f>SUM(B36:B37)</f>
        <v>6580673.1400000015</v>
      </c>
      <c r="C38" s="129">
        <f t="shared" ref="C38:D38" si="2">SUM(C36:C37)</f>
        <v>3927042.19</v>
      </c>
      <c r="D38" s="129">
        <f t="shared" si="2"/>
        <v>10507715.330000002</v>
      </c>
      <c r="E38" s="100">
        <f>+D38/D39</f>
        <v>0.10454410713106277</v>
      </c>
    </row>
    <row r="39" spans="1:5" ht="19.5" thickBot="1" x14ac:dyDescent="0.35">
      <c r="A39" s="98" t="s">
        <v>347</v>
      </c>
      <c r="B39" s="99">
        <f>+B12+B16+B34+B38</f>
        <v>91500562.429999992</v>
      </c>
      <c r="C39" s="99">
        <f>+C12+C16+C34+C38</f>
        <v>9009314.3900000006</v>
      </c>
      <c r="D39" s="99">
        <f t="shared" ref="D39" si="3">+D12+D16+D34+D38</f>
        <v>100509876.81999999</v>
      </c>
      <c r="E39" s="96">
        <f>+E12+E16+E34+E38</f>
        <v>0.99999999999999989</v>
      </c>
    </row>
    <row r="40" spans="1:5" ht="19.5" thickBot="1" x14ac:dyDescent="0.35">
      <c r="A40" s="98" t="s">
        <v>346</v>
      </c>
      <c r="B40" s="97">
        <f>+B39/D39</f>
        <v>0.91036388984801464</v>
      </c>
      <c r="C40" s="97">
        <f>+C39/D39</f>
        <v>8.9636110151985374E-2</v>
      </c>
      <c r="D40" s="97">
        <f>+B40+C40</f>
        <v>1</v>
      </c>
      <c r="E40" s="96"/>
    </row>
    <row r="42" spans="1:5" ht="26.25" x14ac:dyDescent="0.4">
      <c r="A42" s="95"/>
    </row>
    <row r="43" spans="1:5" ht="26.25" x14ac:dyDescent="0.4">
      <c r="A43" s="95"/>
    </row>
  </sheetData>
  <mergeCells count="9">
    <mergeCell ref="A1:E1"/>
    <mergeCell ref="A2:E2"/>
    <mergeCell ref="A3:E3"/>
    <mergeCell ref="A4:E4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view="pageBreakPreview" topLeftCell="B1" zoomScale="60" zoomScaleNormal="90" workbookViewId="0">
      <selection activeCell="F86" sqref="F86"/>
    </sheetView>
  </sheetViews>
  <sheetFormatPr baseColWidth="10" defaultColWidth="9.140625" defaultRowHeight="15" x14ac:dyDescent="0.25"/>
  <cols>
    <col min="1" max="1" width="84.42578125" customWidth="1"/>
    <col min="2" max="2" width="25.140625" customWidth="1"/>
    <col min="3" max="3" width="20.140625" bestFit="1" customWidth="1"/>
    <col min="4" max="5" width="13.85546875" customWidth="1"/>
    <col min="6" max="6" width="15.85546875" customWidth="1"/>
    <col min="7" max="7" width="18.42578125" bestFit="1" customWidth="1"/>
    <col min="8" max="8" width="19.42578125" bestFit="1" customWidth="1"/>
    <col min="9" max="11" width="15.85546875" customWidth="1"/>
    <col min="12" max="12" width="22" bestFit="1" customWidth="1"/>
    <col min="13" max="13" width="20.5703125" bestFit="1" customWidth="1"/>
    <col min="14" max="15" width="15.85546875" customWidth="1"/>
  </cols>
  <sheetData>
    <row r="1" spans="1:15" ht="18.75" x14ac:dyDescent="0.25">
      <c r="A1" s="457" t="s">
        <v>533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</row>
    <row r="2" spans="1:15" ht="18.75" x14ac:dyDescent="0.25">
      <c r="A2" s="457" t="s">
        <v>665</v>
      </c>
      <c r="B2" s="457"/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</row>
    <row r="3" spans="1:15" ht="18.75" customHeight="1" x14ac:dyDescent="0.25">
      <c r="A3" s="458" t="s">
        <v>643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</row>
    <row r="4" spans="1:15" x14ac:dyDescent="0.25">
      <c r="A4" s="401" t="s">
        <v>531</v>
      </c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</row>
    <row r="5" spans="1:15" x14ac:dyDescent="0.25">
      <c r="L5" s="139"/>
      <c r="M5" s="139"/>
      <c r="N5" s="139"/>
      <c r="O5" s="139"/>
    </row>
    <row r="6" spans="1:15" ht="48" customHeight="1" x14ac:dyDescent="0.25">
      <c r="A6" s="159" t="s">
        <v>530</v>
      </c>
      <c r="B6" s="459" t="s">
        <v>534</v>
      </c>
      <c r="C6" s="460"/>
      <c r="D6" s="460"/>
      <c r="E6" s="460"/>
      <c r="F6" s="461"/>
      <c r="G6" s="464" t="s">
        <v>535</v>
      </c>
      <c r="H6" s="464"/>
      <c r="I6" s="464"/>
      <c r="J6" s="464"/>
      <c r="K6" s="461"/>
      <c r="L6" s="465" t="s">
        <v>536</v>
      </c>
      <c r="M6" s="466"/>
      <c r="N6" s="466"/>
      <c r="O6" s="467"/>
    </row>
    <row r="7" spans="1:15" x14ac:dyDescent="0.25">
      <c r="A7" s="148" t="s">
        <v>516</v>
      </c>
      <c r="B7" s="160" t="s">
        <v>537</v>
      </c>
      <c r="C7" s="160" t="s">
        <v>538</v>
      </c>
      <c r="D7" s="160" t="s">
        <v>539</v>
      </c>
      <c r="E7" s="160" t="s">
        <v>540</v>
      </c>
      <c r="F7" s="462"/>
      <c r="G7" s="160" t="s">
        <v>537</v>
      </c>
      <c r="H7" s="160" t="s">
        <v>538</v>
      </c>
      <c r="I7" s="160" t="s">
        <v>539</v>
      </c>
      <c r="J7" s="160" t="s">
        <v>540</v>
      </c>
      <c r="K7" s="462"/>
      <c r="L7" s="160" t="s">
        <v>537</v>
      </c>
      <c r="M7" s="160" t="s">
        <v>538</v>
      </c>
      <c r="N7" s="160" t="s">
        <v>539</v>
      </c>
      <c r="O7" s="160" t="s">
        <v>540</v>
      </c>
    </row>
    <row r="8" spans="1:15" x14ac:dyDescent="0.25">
      <c r="A8" s="152" t="s">
        <v>515</v>
      </c>
      <c r="B8" s="161">
        <f>SUM(B9:B13)</f>
        <v>198560735.68000001</v>
      </c>
      <c r="C8" s="161">
        <f t="shared" ref="C8:D8" si="0">SUM(C9:C13)</f>
        <v>133186706.53</v>
      </c>
      <c r="D8" s="161">
        <f t="shared" si="0"/>
        <v>0</v>
      </c>
      <c r="E8" s="161">
        <f>SUM(E9:E13)</f>
        <v>0</v>
      </c>
      <c r="F8" s="462"/>
      <c r="G8" s="161">
        <f>SUM(G9:G13)</f>
        <v>5231553.59</v>
      </c>
      <c r="H8" s="161">
        <f>SUM(H9:H13)</f>
        <v>0</v>
      </c>
      <c r="I8" s="161">
        <f t="shared" ref="I8:J8" si="1">SUM(I9:I13)</f>
        <v>0</v>
      </c>
      <c r="J8" s="161">
        <f t="shared" si="1"/>
        <v>0</v>
      </c>
      <c r="K8" s="462"/>
      <c r="L8" s="162">
        <f>SUM(B8+G8)</f>
        <v>203792289.27000001</v>
      </c>
      <c r="M8" s="162">
        <f t="shared" ref="M8:O8" si="2">SUM(C8+H8)</f>
        <v>133186706.53</v>
      </c>
      <c r="N8" s="162">
        <f t="shared" si="2"/>
        <v>0</v>
      </c>
      <c r="O8" s="162">
        <f t="shared" si="2"/>
        <v>0</v>
      </c>
    </row>
    <row r="9" spans="1:15" x14ac:dyDescent="0.25">
      <c r="A9" s="146" t="s">
        <v>514</v>
      </c>
      <c r="B9" s="163">
        <f>SUM('TRANSFERENCIA CORRIENTE'!C10:E10)</f>
        <v>163945204.59</v>
      </c>
      <c r="C9" s="163">
        <f>SUM('TRANSFERENCIA CORRIENTE'!F10:H10)</f>
        <v>109216237.75</v>
      </c>
      <c r="D9" s="163">
        <f>SUM('TRANSFERENCIA CORRIENTE'!I10:K10)</f>
        <v>0</v>
      </c>
      <c r="E9" s="163">
        <f>SUM('TRANSFERENCIA CORRIENTE'!L10:N10)</f>
        <v>0</v>
      </c>
      <c r="F9" s="462"/>
      <c r="G9" s="163">
        <f>SUM(VS!C10:E10)</f>
        <v>0</v>
      </c>
      <c r="H9" s="163">
        <f>SUM(VS!F10:H10)</f>
        <v>0</v>
      </c>
      <c r="I9" s="163">
        <f>SUM(VS!I10:K10)</f>
        <v>0</v>
      </c>
      <c r="J9" s="164">
        <f>SUM(VS!L10:N10)</f>
        <v>0</v>
      </c>
      <c r="K9" s="462"/>
      <c r="L9" s="165">
        <f>SUM(B9+G9)</f>
        <v>163945204.59</v>
      </c>
      <c r="M9" s="165">
        <f>SUM(C9+H9)</f>
        <v>109216237.75</v>
      </c>
      <c r="N9" s="165">
        <f>SUM(D9+I9)</f>
        <v>0</v>
      </c>
      <c r="O9" s="165">
        <f>SUM(E9+J9)</f>
        <v>0</v>
      </c>
    </row>
    <row r="10" spans="1:15" x14ac:dyDescent="0.25">
      <c r="A10" s="146" t="s">
        <v>513</v>
      </c>
      <c r="B10" s="163">
        <f>SUM('TRANSFERENCIA CORRIENTE'!C11:E11)</f>
        <v>9594398.8000000007</v>
      </c>
      <c r="C10" s="163">
        <f>SUM('TRANSFERENCIA CORRIENTE'!F11:H11)</f>
        <v>7192572.79</v>
      </c>
      <c r="D10" s="163">
        <f>SUM('TRANSFERENCIA CORRIENTE'!I11:K11)</f>
        <v>0</v>
      </c>
      <c r="E10" s="163">
        <f>SUM('TRANSFERENCIA CORRIENTE'!L11:N11)</f>
        <v>0</v>
      </c>
      <c r="F10" s="462"/>
      <c r="G10" s="163">
        <f>SUM(VS!C11:E11)</f>
        <v>5231553.59</v>
      </c>
      <c r="H10" s="163">
        <f>SUM(VS!F11:H11)</f>
        <v>0</v>
      </c>
      <c r="I10" s="163">
        <f>SUM(VS!I11:K11)</f>
        <v>0</v>
      </c>
      <c r="J10" s="164">
        <f>SUM(VS!L11:N11)</f>
        <v>0</v>
      </c>
      <c r="K10" s="462"/>
      <c r="L10" s="165">
        <f t="shared" ref="L10:L13" si="3">SUM(B10+G10)</f>
        <v>14825952.390000001</v>
      </c>
      <c r="M10" s="165">
        <f>SUM(C10+H10)</f>
        <v>7192572.79</v>
      </c>
      <c r="N10" s="165">
        <f t="shared" ref="N10:O13" si="4">SUM(D10+I10)</f>
        <v>0</v>
      </c>
      <c r="O10" s="165">
        <f t="shared" si="4"/>
        <v>0</v>
      </c>
    </row>
    <row r="11" spans="1:15" x14ac:dyDescent="0.25">
      <c r="A11" s="146" t="s">
        <v>512</v>
      </c>
      <c r="B11" s="163">
        <f>SUM('TRANSFERENCIA CORRIENTE'!C12:E12)</f>
        <v>0</v>
      </c>
      <c r="C11" s="163">
        <f>SUM('TRANSFERENCIA CORRIENTE'!F12:H12)</f>
        <v>0</v>
      </c>
      <c r="D11" s="163">
        <f>SUM('TRANSFERENCIA CORRIENTE'!I12:K12)</f>
        <v>0</v>
      </c>
      <c r="E11" s="163">
        <f>SUM('TRANSFERENCIA CORRIENTE'!L12:N12)</f>
        <v>0</v>
      </c>
      <c r="F11" s="462"/>
      <c r="G11" s="163">
        <f>SUM(VS!C12:E12)</f>
        <v>0</v>
      </c>
      <c r="H11" s="163">
        <f>SUM(VS!F12:H12)</f>
        <v>0</v>
      </c>
      <c r="I11" s="163">
        <f>SUM(VS!I12:K12)</f>
        <v>0</v>
      </c>
      <c r="J11" s="164">
        <f>SUM(VS!L12:N12)</f>
        <v>0</v>
      </c>
      <c r="K11" s="462"/>
      <c r="L11" s="165">
        <f t="shared" si="3"/>
        <v>0</v>
      </c>
      <c r="M11" s="165">
        <f>SUM(C11+H11)</f>
        <v>0</v>
      </c>
      <c r="N11" s="165">
        <f t="shared" si="4"/>
        <v>0</v>
      </c>
      <c r="O11" s="165">
        <f t="shared" si="4"/>
        <v>0</v>
      </c>
    </row>
    <row r="12" spans="1:15" x14ac:dyDescent="0.25">
      <c r="A12" s="146" t="s">
        <v>511</v>
      </c>
      <c r="B12" s="163">
        <f>SUM('TRANSFERENCIA CORRIENTE'!C13:E13)</f>
        <v>0</v>
      </c>
      <c r="C12" s="163">
        <f>SUM('TRANSFERENCIA CORRIENTE'!F13:H13)</f>
        <v>0</v>
      </c>
      <c r="D12" s="163">
        <f>SUM('TRANSFERENCIA CORRIENTE'!I13:K13)</f>
        <v>0</v>
      </c>
      <c r="E12" s="163">
        <f>SUM('TRANSFERENCIA CORRIENTE'!L13:N13)</f>
        <v>0</v>
      </c>
      <c r="F12" s="462"/>
      <c r="G12" s="163">
        <f>SUM(VS!C13:E13)</f>
        <v>0</v>
      </c>
      <c r="H12" s="163">
        <f>SUM(VS!F13:H13)</f>
        <v>0</v>
      </c>
      <c r="I12" s="163">
        <f>SUM(VS!I13:K13)</f>
        <v>0</v>
      </c>
      <c r="J12" s="164">
        <f>SUM(VS!L13:N13)</f>
        <v>0</v>
      </c>
      <c r="K12" s="462"/>
      <c r="L12" s="165">
        <f t="shared" si="3"/>
        <v>0</v>
      </c>
      <c r="M12" s="165">
        <f>SUM(C12+H12)</f>
        <v>0</v>
      </c>
      <c r="N12" s="165">
        <f t="shared" si="4"/>
        <v>0</v>
      </c>
      <c r="O12" s="165">
        <f t="shared" si="4"/>
        <v>0</v>
      </c>
    </row>
    <row r="13" spans="1:15" x14ac:dyDescent="0.25">
      <c r="A13" s="146" t="s">
        <v>510</v>
      </c>
      <c r="B13" s="163">
        <f>SUM('TRANSFERENCIA CORRIENTE'!C14:E14)</f>
        <v>25021132.289999999</v>
      </c>
      <c r="C13" s="163">
        <f>SUM('TRANSFERENCIA CORRIENTE'!F14:H14)</f>
        <v>16777895.990000002</v>
      </c>
      <c r="D13" s="163">
        <f>SUM('TRANSFERENCIA CORRIENTE'!I14:K14)</f>
        <v>0</v>
      </c>
      <c r="E13" s="163">
        <f>SUM('TRANSFERENCIA CORRIENTE'!L14:N14)</f>
        <v>0</v>
      </c>
      <c r="F13" s="462"/>
      <c r="G13" s="163">
        <f>SUM(VS!C14:E14)</f>
        <v>0</v>
      </c>
      <c r="H13" s="163">
        <f>SUM(VS!F14:H14)</f>
        <v>0</v>
      </c>
      <c r="I13" s="163">
        <f>SUM(VS!I14:K14)</f>
        <v>0</v>
      </c>
      <c r="J13" s="164">
        <f>SUM(VS!L14:N14)</f>
        <v>0</v>
      </c>
      <c r="K13" s="462"/>
      <c r="L13" s="165">
        <f t="shared" si="3"/>
        <v>25021132.289999999</v>
      </c>
      <c r="M13" s="165">
        <f>SUM(C13+H13)</f>
        <v>16777895.990000002</v>
      </c>
      <c r="N13" s="165">
        <f t="shared" si="4"/>
        <v>0</v>
      </c>
      <c r="O13" s="165">
        <f t="shared" si="4"/>
        <v>0</v>
      </c>
    </row>
    <row r="14" spans="1:15" s="166" customFormat="1" x14ac:dyDescent="0.25">
      <c r="A14" s="152" t="s">
        <v>509</v>
      </c>
      <c r="B14" s="161">
        <f>SUM(B15:B23)</f>
        <v>9308364.879999999</v>
      </c>
      <c r="C14" s="161">
        <f t="shared" ref="C14:E14" si="5">SUM(C15:C23)</f>
        <v>1891359.8199999998</v>
      </c>
      <c r="D14" s="161">
        <f t="shared" si="5"/>
        <v>0</v>
      </c>
      <c r="E14" s="161">
        <f t="shared" si="5"/>
        <v>0</v>
      </c>
      <c r="F14" s="462"/>
      <c r="G14" s="161">
        <f>SUM(G15:G23)</f>
        <v>8306683.8499999996</v>
      </c>
      <c r="H14" s="161">
        <f t="shared" ref="H14:J14" si="6">SUM(H15:H23)</f>
        <v>3300774.69</v>
      </c>
      <c r="I14" s="161">
        <f t="shared" si="6"/>
        <v>0</v>
      </c>
      <c r="J14" s="161">
        <f t="shared" si="6"/>
        <v>0</v>
      </c>
      <c r="K14" s="462"/>
      <c r="L14" s="162">
        <f>SUM(B14+G14)</f>
        <v>17615048.729999997</v>
      </c>
      <c r="M14" s="162">
        <f t="shared" ref="M14:O29" si="7">SUM(C14+H14)</f>
        <v>5192134.51</v>
      </c>
      <c r="N14" s="162">
        <f t="shared" si="7"/>
        <v>0</v>
      </c>
      <c r="O14" s="162">
        <f t="shared" si="7"/>
        <v>0</v>
      </c>
    </row>
    <row r="15" spans="1:15" x14ac:dyDescent="0.25">
      <c r="A15" s="146" t="s">
        <v>508</v>
      </c>
      <c r="B15" s="163">
        <f>SUM('TRANSFERENCIA CORRIENTE'!C16:E16)</f>
        <v>2020024.3</v>
      </c>
      <c r="C15" s="163">
        <f>SUM('TRANSFERENCIA CORRIENTE'!F16:H16)</f>
        <v>121070</v>
      </c>
      <c r="D15" s="163">
        <f>SUM('TRANSFERENCIA CORRIENTE'!J16:L16)</f>
        <v>0</v>
      </c>
      <c r="E15" s="163">
        <f>SUM('TRANSFERENCIA CORRIENTE'!L16:N16)</f>
        <v>0</v>
      </c>
      <c r="F15" s="462"/>
      <c r="G15" s="163">
        <f>SUM(VS!C16:E16)</f>
        <v>2341561.92</v>
      </c>
      <c r="H15" s="163">
        <f>SUM(VS!F16:H16)</f>
        <v>1384071.72</v>
      </c>
      <c r="I15" s="163">
        <f>SUM(VS!I16:K16)</f>
        <v>0</v>
      </c>
      <c r="J15" s="164">
        <f>SUM(VS!L16:N16)</f>
        <v>0</v>
      </c>
      <c r="K15" s="462"/>
      <c r="L15" s="165">
        <f t="shared" ref="L15:L23" si="8">SUM(B15+G15)</f>
        <v>4361586.22</v>
      </c>
      <c r="M15" s="165">
        <f t="shared" si="7"/>
        <v>1505141.72</v>
      </c>
      <c r="N15" s="165">
        <f t="shared" si="7"/>
        <v>0</v>
      </c>
      <c r="O15" s="165">
        <f t="shared" si="7"/>
        <v>0</v>
      </c>
    </row>
    <row r="16" spans="1:15" x14ac:dyDescent="0.25">
      <c r="A16" s="146" t="s">
        <v>507</v>
      </c>
      <c r="B16" s="163">
        <f>SUM('TRANSFERENCIA CORRIENTE'!C17:E17)</f>
        <v>324206.83</v>
      </c>
      <c r="C16" s="163">
        <f>SUM('TRANSFERENCIA CORRIENTE'!F17:H17)</f>
        <v>32889.839999999997</v>
      </c>
      <c r="D16" s="163">
        <f>SUM('TRANSFERENCIA CORRIENTE'!J17:L17)</f>
        <v>0</v>
      </c>
      <c r="E16" s="163">
        <f>SUM('TRANSFERENCIA CORRIENTE'!L17:N17)</f>
        <v>0</v>
      </c>
      <c r="F16" s="462"/>
      <c r="G16" s="163">
        <f>SUM(VS!C17:E17)</f>
        <v>0</v>
      </c>
      <c r="H16" s="163">
        <f>SUM(VS!F17:H17)</f>
        <v>0</v>
      </c>
      <c r="I16" s="163">
        <f>SUM(VS!I17:K17)</f>
        <v>0</v>
      </c>
      <c r="J16" s="164">
        <f>SUM(VS!L17:N17)</f>
        <v>0</v>
      </c>
      <c r="K16" s="462"/>
      <c r="L16" s="165">
        <f t="shared" si="8"/>
        <v>324206.83</v>
      </c>
      <c r="M16" s="165">
        <f t="shared" si="7"/>
        <v>32889.839999999997</v>
      </c>
      <c r="N16" s="165">
        <f t="shared" si="7"/>
        <v>0</v>
      </c>
      <c r="O16" s="165">
        <f t="shared" si="7"/>
        <v>0</v>
      </c>
    </row>
    <row r="17" spans="1:15" x14ac:dyDescent="0.25">
      <c r="A17" s="146" t="s">
        <v>506</v>
      </c>
      <c r="B17" s="163">
        <f>SUM('TRANSFERENCIA CORRIENTE'!C18:E18)</f>
        <v>0</v>
      </c>
      <c r="C17" s="163">
        <f>SUM('TRANSFERENCIA CORRIENTE'!F18:H18)</f>
        <v>0</v>
      </c>
      <c r="D17" s="163">
        <f>SUM('TRANSFERENCIA CORRIENTE'!J18:L18)</f>
        <v>0</v>
      </c>
      <c r="E17" s="163">
        <f>SUM('TRANSFERENCIA CORRIENTE'!L18:N18)</f>
        <v>0</v>
      </c>
      <c r="F17" s="462"/>
      <c r="G17" s="163">
        <f>SUM(VS!C18:E18)</f>
        <v>0</v>
      </c>
      <c r="H17" s="163">
        <f>SUM(VS!F18:H18)</f>
        <v>0</v>
      </c>
      <c r="I17" s="163">
        <f>SUM(VS!I18:K18)</f>
        <v>0</v>
      </c>
      <c r="J17" s="164">
        <f>SUM(VS!L18:N18)</f>
        <v>0</v>
      </c>
      <c r="K17" s="462"/>
      <c r="L17" s="165">
        <f t="shared" si="8"/>
        <v>0</v>
      </c>
      <c r="M17" s="165">
        <f t="shared" si="7"/>
        <v>0</v>
      </c>
      <c r="N17" s="165">
        <f t="shared" si="7"/>
        <v>0</v>
      </c>
      <c r="O17" s="165">
        <f t="shared" si="7"/>
        <v>0</v>
      </c>
    </row>
    <row r="18" spans="1:15" x14ac:dyDescent="0.25">
      <c r="A18" s="146" t="s">
        <v>505</v>
      </c>
      <c r="B18" s="163">
        <f>SUM('TRANSFERENCIA CORRIENTE'!C19:E19)</f>
        <v>0</v>
      </c>
      <c r="C18" s="163">
        <f>SUM('TRANSFERENCIA CORRIENTE'!F19:H19)</f>
        <v>0</v>
      </c>
      <c r="D18" s="163">
        <f>SUM('TRANSFERENCIA CORRIENTE'!J19:L19)</f>
        <v>0</v>
      </c>
      <c r="E18" s="163">
        <f>SUM('TRANSFERENCIA CORRIENTE'!L19:N19)</f>
        <v>0</v>
      </c>
      <c r="F18" s="462"/>
      <c r="G18" s="163">
        <f>SUM(VS!C19:E19)</f>
        <v>56000</v>
      </c>
      <c r="H18" s="163">
        <f>SUM(VS!F19:H19)</f>
        <v>76000</v>
      </c>
      <c r="I18" s="163">
        <f>SUM(VS!I19:K19)</f>
        <v>0</v>
      </c>
      <c r="J18" s="164">
        <f>SUM(VS!L19:N19)</f>
        <v>0</v>
      </c>
      <c r="K18" s="462"/>
      <c r="L18" s="165">
        <f t="shared" si="8"/>
        <v>56000</v>
      </c>
      <c r="M18" s="165">
        <f t="shared" si="7"/>
        <v>76000</v>
      </c>
      <c r="N18" s="165">
        <f t="shared" si="7"/>
        <v>0</v>
      </c>
      <c r="O18" s="165">
        <f t="shared" si="7"/>
        <v>0</v>
      </c>
    </row>
    <row r="19" spans="1:15" x14ac:dyDescent="0.25">
      <c r="A19" s="146" t="s">
        <v>504</v>
      </c>
      <c r="B19" s="163">
        <f>SUM('TRANSFERENCIA CORRIENTE'!C20:E20)</f>
        <v>0</v>
      </c>
      <c r="C19" s="163">
        <f>SUM('TRANSFERENCIA CORRIENTE'!F20:H20)</f>
        <v>150000</v>
      </c>
      <c r="D19" s="163">
        <f>SUM('TRANSFERENCIA CORRIENTE'!J20:L20)</f>
        <v>0</v>
      </c>
      <c r="E19" s="163">
        <f>SUM('TRANSFERENCIA CORRIENTE'!L20:N20)</f>
        <v>0</v>
      </c>
      <c r="F19" s="462"/>
      <c r="G19" s="163">
        <f>SUM(VS!C20:E20)</f>
        <v>519625.15</v>
      </c>
      <c r="H19" s="163">
        <f>SUM(VS!F20:H20)</f>
        <v>759170.42</v>
      </c>
      <c r="I19" s="163">
        <f>SUM(VS!I20:K20)</f>
        <v>0</v>
      </c>
      <c r="J19" s="164">
        <f>SUM(VS!L20:N20)</f>
        <v>0</v>
      </c>
      <c r="K19" s="462"/>
      <c r="L19" s="165">
        <f t="shared" si="8"/>
        <v>519625.15</v>
      </c>
      <c r="M19" s="165">
        <f t="shared" si="7"/>
        <v>909170.42</v>
      </c>
      <c r="N19" s="165">
        <f t="shared" si="7"/>
        <v>0</v>
      </c>
      <c r="O19" s="165">
        <f t="shared" si="7"/>
        <v>0</v>
      </c>
    </row>
    <row r="20" spans="1:15" x14ac:dyDescent="0.25">
      <c r="A20" s="146" t="s">
        <v>503</v>
      </c>
      <c r="B20" s="163">
        <f>SUM('TRANSFERENCIA CORRIENTE'!C21:E21)</f>
        <v>0</v>
      </c>
      <c r="C20" s="163">
        <f>SUM('TRANSFERENCIA CORRIENTE'!F21:H21)</f>
        <v>0</v>
      </c>
      <c r="D20" s="163">
        <f>SUM('TRANSFERENCIA CORRIENTE'!J21:L21)</f>
        <v>0</v>
      </c>
      <c r="E20" s="163">
        <f>SUM('TRANSFERENCIA CORRIENTE'!L21:N21)</f>
        <v>0</v>
      </c>
      <c r="F20" s="462"/>
      <c r="G20" s="163">
        <f>SUM(VS!C21:E21)</f>
        <v>0</v>
      </c>
      <c r="H20" s="163">
        <f>SUM(VS!F21:H21)</f>
        <v>0</v>
      </c>
      <c r="I20" s="163">
        <f>SUM(VS!I21:K21)</f>
        <v>0</v>
      </c>
      <c r="J20" s="164">
        <f>SUM(VS!L21:N21)</f>
        <v>0</v>
      </c>
      <c r="K20" s="462"/>
      <c r="L20" s="165">
        <f t="shared" si="8"/>
        <v>0</v>
      </c>
      <c r="M20" s="165">
        <f t="shared" si="7"/>
        <v>0</v>
      </c>
      <c r="N20" s="165">
        <f t="shared" si="7"/>
        <v>0</v>
      </c>
      <c r="O20" s="165">
        <f t="shared" si="7"/>
        <v>0</v>
      </c>
    </row>
    <row r="21" spans="1:15" ht="30" x14ac:dyDescent="0.25">
      <c r="A21" s="146" t="s">
        <v>502</v>
      </c>
      <c r="B21" s="163">
        <f>SUM('TRANSFERENCIA CORRIENTE'!C22:E22)</f>
        <v>6474433.75</v>
      </c>
      <c r="C21" s="163">
        <f>SUM('TRANSFERENCIA CORRIENTE'!F22:H22)</f>
        <v>1174399.98</v>
      </c>
      <c r="D21" s="163">
        <f>SUM('TRANSFERENCIA CORRIENTE'!J22:L22)</f>
        <v>0</v>
      </c>
      <c r="E21" s="163">
        <f>SUM('TRANSFERENCIA CORRIENTE'!L22:N22)</f>
        <v>0</v>
      </c>
      <c r="F21" s="462"/>
      <c r="G21" s="163">
        <f>SUM(VS!C22:E22)</f>
        <v>4556850.12</v>
      </c>
      <c r="H21" s="163">
        <f>SUM(VS!F22:H22)</f>
        <v>405776.67000000004</v>
      </c>
      <c r="I21" s="163">
        <f>SUM(VS!I22:K22)</f>
        <v>0</v>
      </c>
      <c r="J21" s="164">
        <f>SUM(VS!L22:N22)</f>
        <v>0</v>
      </c>
      <c r="K21" s="462"/>
      <c r="L21" s="165">
        <f t="shared" si="8"/>
        <v>11031283.870000001</v>
      </c>
      <c r="M21" s="165">
        <f t="shared" si="7"/>
        <v>1580176.65</v>
      </c>
      <c r="N21" s="165">
        <f t="shared" si="7"/>
        <v>0</v>
      </c>
      <c r="O21" s="165">
        <f>SUM(E21+J21)</f>
        <v>0</v>
      </c>
    </row>
    <row r="22" spans="1:15" x14ac:dyDescent="0.25">
      <c r="A22" s="146" t="s">
        <v>501</v>
      </c>
      <c r="B22" s="163">
        <f>SUM('TRANSFERENCIA CORRIENTE'!C23:E23)</f>
        <v>489700</v>
      </c>
      <c r="C22" s="163">
        <f>SUM('TRANSFERENCIA CORRIENTE'!F23:H23)</f>
        <v>413000</v>
      </c>
      <c r="D22" s="163">
        <f>SUM('TRANSFERENCIA CORRIENTE'!J23:L23)</f>
        <v>0</v>
      </c>
      <c r="E22" s="163">
        <f>SUM('TRANSFERENCIA CORRIENTE'!L23:N23)</f>
        <v>0</v>
      </c>
      <c r="F22" s="462"/>
      <c r="G22" s="163">
        <f>SUM(VS!C23:E23)</f>
        <v>832646.66</v>
      </c>
      <c r="H22" s="163">
        <f>SUM(VS!F23:H23)</f>
        <v>675755.88</v>
      </c>
      <c r="I22" s="163">
        <f>SUM(VS!I23:K23)</f>
        <v>0</v>
      </c>
      <c r="J22" s="164">
        <f>SUM(VS!L23:N23)</f>
        <v>0</v>
      </c>
      <c r="K22" s="462"/>
      <c r="L22" s="165">
        <f t="shared" si="8"/>
        <v>1322346.6600000001</v>
      </c>
      <c r="M22" s="165">
        <f t="shared" si="7"/>
        <v>1088755.8799999999</v>
      </c>
      <c r="N22" s="165">
        <f t="shared" si="7"/>
        <v>0</v>
      </c>
      <c r="O22" s="165">
        <f t="shared" si="7"/>
        <v>0</v>
      </c>
    </row>
    <row r="23" spans="1:15" x14ac:dyDescent="0.25">
      <c r="A23" s="146" t="s">
        <v>500</v>
      </c>
      <c r="B23" s="163">
        <f>SUM('TRANSFERENCIA CORRIENTE'!C24:E24)</f>
        <v>0</v>
      </c>
      <c r="C23" s="163">
        <f>SUM('TRANSFERENCIA CORRIENTE'!F24:H24)</f>
        <v>0</v>
      </c>
      <c r="D23" s="163">
        <f>SUM('TRANSFERENCIA CORRIENTE'!J24:L24)</f>
        <v>0</v>
      </c>
      <c r="E23" s="163">
        <f>SUM('TRANSFERENCIA CORRIENTE'!L24:N24)</f>
        <v>0</v>
      </c>
      <c r="F23" s="462"/>
      <c r="G23" s="163">
        <f>SUM(VS!C24:E24)</f>
        <v>0</v>
      </c>
      <c r="H23" s="163">
        <f>SUM(VS!F24:H24)</f>
        <v>0</v>
      </c>
      <c r="I23" s="163">
        <f>SUM(VS!I24:K24)</f>
        <v>0</v>
      </c>
      <c r="J23" s="164">
        <f>SUM(VS!L24:N24)</f>
        <v>0</v>
      </c>
      <c r="K23" s="462"/>
      <c r="L23" s="165">
        <f t="shared" si="8"/>
        <v>0</v>
      </c>
      <c r="M23" s="165">
        <f t="shared" si="7"/>
        <v>0</v>
      </c>
      <c r="N23" s="165">
        <f t="shared" si="7"/>
        <v>0</v>
      </c>
      <c r="O23" s="165">
        <f t="shared" si="7"/>
        <v>0</v>
      </c>
    </row>
    <row r="24" spans="1:15" s="166" customFormat="1" x14ac:dyDescent="0.25">
      <c r="A24" s="152" t="s">
        <v>499</v>
      </c>
      <c r="B24" s="161">
        <f>SUM(B25:B33)</f>
        <v>46153283.390000001</v>
      </c>
      <c r="C24" s="161">
        <f t="shared" ref="C24:E24" si="9">SUM(C25:C33)</f>
        <v>36977120.25</v>
      </c>
      <c r="D24" s="161">
        <f t="shared" si="9"/>
        <v>0</v>
      </c>
      <c r="E24" s="161">
        <f t="shared" si="9"/>
        <v>0</v>
      </c>
      <c r="F24" s="462"/>
      <c r="G24" s="161">
        <f t="shared" ref="G24:J24" si="10">SUM(G25:G33)</f>
        <v>7292547.2799999993</v>
      </c>
      <c r="H24" s="161">
        <f t="shared" si="10"/>
        <v>5553166.7999999998</v>
      </c>
      <c r="I24" s="161">
        <f t="shared" si="10"/>
        <v>0</v>
      </c>
      <c r="J24" s="161">
        <f t="shared" si="10"/>
        <v>0</v>
      </c>
      <c r="K24" s="462"/>
      <c r="L24" s="162">
        <f>SUM(B24+G24)</f>
        <v>53445830.670000002</v>
      </c>
      <c r="M24" s="162">
        <f t="shared" si="7"/>
        <v>42530287.049999997</v>
      </c>
      <c r="N24" s="162">
        <f t="shared" si="7"/>
        <v>0</v>
      </c>
      <c r="O24" s="162">
        <f t="shared" si="7"/>
        <v>0</v>
      </c>
    </row>
    <row r="25" spans="1:15" x14ac:dyDescent="0.25">
      <c r="A25" s="146" t="s">
        <v>498</v>
      </c>
      <c r="B25" s="163">
        <f>SUM('TRANSFERENCIA CORRIENTE'!C26:E26)</f>
        <v>3713897.2399999998</v>
      </c>
      <c r="C25" s="163">
        <f>SUM('TRANSFERENCIA CORRIENTE'!F26:H26)</f>
        <v>2470053</v>
      </c>
      <c r="D25" s="163">
        <f>SUM('TRANSFERENCIA CORRIENTE'!I23:K23)</f>
        <v>0</v>
      </c>
      <c r="E25" s="163">
        <f>SUM('TRANSFERENCIA CORRIENTE'!L26:N26)</f>
        <v>0</v>
      </c>
      <c r="F25" s="462"/>
      <c r="G25" s="163">
        <f>SUM(VS!C26:E26)</f>
        <v>1500755.8</v>
      </c>
      <c r="H25" s="163">
        <f>SUM(VS!F26:H26)</f>
        <v>449925</v>
      </c>
      <c r="I25" s="163">
        <f>SUM(VS!I26:K26)</f>
        <v>0</v>
      </c>
      <c r="J25" s="164">
        <f>SUM(VS!L26:N26)</f>
        <v>0</v>
      </c>
      <c r="K25" s="462"/>
      <c r="L25" s="165">
        <f t="shared" ref="L25:O40" si="11">SUM(B25+G25)</f>
        <v>5214653.04</v>
      </c>
      <c r="M25" s="165">
        <f t="shared" si="7"/>
        <v>2919978</v>
      </c>
      <c r="N25" s="165">
        <f t="shared" si="7"/>
        <v>0</v>
      </c>
      <c r="O25" s="165">
        <f t="shared" si="7"/>
        <v>0</v>
      </c>
    </row>
    <row r="26" spans="1:15" x14ac:dyDescent="0.25">
      <c r="A26" s="146" t="s">
        <v>497</v>
      </c>
      <c r="B26" s="163">
        <f>SUM('TRANSFERENCIA CORRIENTE'!C27:E27)</f>
        <v>61630.73</v>
      </c>
      <c r="C26" s="163">
        <f>SUM('TRANSFERENCIA CORRIENTE'!F27:H27)</f>
        <v>1562980.47</v>
      </c>
      <c r="D26" s="163">
        <f>SUM('TRANSFERENCIA CORRIENTE'!I24:K24)</f>
        <v>0</v>
      </c>
      <c r="E26" s="163">
        <f>SUM('TRANSFERENCIA CORRIENTE'!L27:N27)</f>
        <v>0</v>
      </c>
      <c r="F26" s="462"/>
      <c r="G26" s="163">
        <f>SUM(VS!C27:E27)</f>
        <v>0</v>
      </c>
      <c r="H26" s="163">
        <f>SUM(VS!F27:H27)</f>
        <v>141128</v>
      </c>
      <c r="I26" s="163">
        <f>SUM(VS!I27:K27)</f>
        <v>0</v>
      </c>
      <c r="J26" s="164">
        <f>SUM(VS!L27:N27)</f>
        <v>0</v>
      </c>
      <c r="K26" s="462"/>
      <c r="L26" s="165">
        <f t="shared" si="11"/>
        <v>61630.73</v>
      </c>
      <c r="M26" s="165">
        <f t="shared" si="7"/>
        <v>1704108.47</v>
      </c>
      <c r="N26" s="165">
        <f t="shared" si="7"/>
        <v>0</v>
      </c>
      <c r="O26" s="165">
        <f t="shared" si="7"/>
        <v>0</v>
      </c>
    </row>
    <row r="27" spans="1:15" x14ac:dyDescent="0.25">
      <c r="A27" s="146" t="s">
        <v>496</v>
      </c>
      <c r="B27" s="163">
        <f>SUM('TRANSFERENCIA CORRIENTE'!C28:E28)</f>
        <v>1826911.8399999999</v>
      </c>
      <c r="C27" s="163">
        <f>SUM('TRANSFERENCIA CORRIENTE'!F28:H28)</f>
        <v>2276081.17</v>
      </c>
      <c r="D27" s="163">
        <f>SUM('TRANSFERENCIA CORRIENTE'!I25:K25)</f>
        <v>0</v>
      </c>
      <c r="E27" s="163">
        <f>SUM('TRANSFERENCIA CORRIENTE'!L28:N28)</f>
        <v>0</v>
      </c>
      <c r="F27" s="462"/>
      <c r="G27" s="163">
        <f>SUM(VS!C28:E28)</f>
        <v>251163</v>
      </c>
      <c r="H27" s="163">
        <f>SUM(VS!F28:H28)</f>
        <v>803989</v>
      </c>
      <c r="I27" s="163">
        <f>SUM(VS!I28:K28)</f>
        <v>0</v>
      </c>
      <c r="J27" s="164">
        <f>SUM(VS!L28:N28)</f>
        <v>0</v>
      </c>
      <c r="K27" s="462"/>
      <c r="L27" s="165">
        <f t="shared" si="11"/>
        <v>2078074.8399999999</v>
      </c>
      <c r="M27" s="165">
        <f t="shared" si="7"/>
        <v>3080070.17</v>
      </c>
      <c r="N27" s="165">
        <f t="shared" si="7"/>
        <v>0</v>
      </c>
      <c r="O27" s="165">
        <f t="shared" si="7"/>
        <v>0</v>
      </c>
    </row>
    <row r="28" spans="1:15" x14ac:dyDescent="0.25">
      <c r="A28" s="146" t="s">
        <v>495</v>
      </c>
      <c r="B28" s="163">
        <f>SUM('TRANSFERENCIA CORRIENTE'!C29:E29)</f>
        <v>10797335.800000001</v>
      </c>
      <c r="C28" s="163">
        <f>SUM('TRANSFERENCIA CORRIENTE'!F29:H29)</f>
        <v>8986394.5999999996</v>
      </c>
      <c r="D28" s="163">
        <f>SUM('TRANSFERENCIA CORRIENTE'!I26:K26)</f>
        <v>0</v>
      </c>
      <c r="E28" s="163">
        <f>SUM('TRANSFERENCIA CORRIENTE'!L29:N29)</f>
        <v>0</v>
      </c>
      <c r="F28" s="462"/>
      <c r="G28" s="163">
        <f>SUM(VS!C29:E29)</f>
        <v>558000</v>
      </c>
      <c r="H28" s="163">
        <f>SUM(VS!F29:H29)</f>
        <v>222100</v>
      </c>
      <c r="I28" s="163">
        <f>SUM(VS!I29:K29)</f>
        <v>0</v>
      </c>
      <c r="J28" s="164">
        <f>SUM(VS!L29:N29)</f>
        <v>0</v>
      </c>
      <c r="K28" s="462"/>
      <c r="L28" s="165">
        <f t="shared" si="11"/>
        <v>11355335.800000001</v>
      </c>
      <c r="M28" s="165">
        <f t="shared" si="7"/>
        <v>9208494.5999999996</v>
      </c>
      <c r="N28" s="165">
        <f t="shared" si="7"/>
        <v>0</v>
      </c>
      <c r="O28" s="165">
        <f t="shared" si="7"/>
        <v>0</v>
      </c>
    </row>
    <row r="29" spans="1:15" x14ac:dyDescent="0.25">
      <c r="A29" s="146" t="s">
        <v>494</v>
      </c>
      <c r="B29" s="163">
        <f>SUM('TRANSFERENCIA CORRIENTE'!C30:E30)</f>
        <v>334708.95</v>
      </c>
      <c r="C29" s="163">
        <f>SUM('TRANSFERENCIA CORRIENTE'!F30:H30)</f>
        <v>890959.42999999993</v>
      </c>
      <c r="D29" s="163">
        <f>SUM('TRANSFERENCIA CORRIENTE'!I27:K27)</f>
        <v>0</v>
      </c>
      <c r="E29" s="163">
        <f>SUM('TRANSFERENCIA CORRIENTE'!L30:N30)</f>
        <v>0</v>
      </c>
      <c r="F29" s="462"/>
      <c r="G29" s="163">
        <f>SUM(VS!C30:E30)</f>
        <v>567494.87</v>
      </c>
      <c r="H29" s="163">
        <f>SUM(VS!F30:H30)</f>
        <v>0</v>
      </c>
      <c r="I29" s="163">
        <f>SUM(VS!I30:K30)</f>
        <v>0</v>
      </c>
      <c r="J29" s="164">
        <f>SUM(VS!L30:N30)</f>
        <v>0</v>
      </c>
      <c r="K29" s="462"/>
      <c r="L29" s="165">
        <f t="shared" si="11"/>
        <v>902203.82000000007</v>
      </c>
      <c r="M29" s="165">
        <f t="shared" si="7"/>
        <v>890959.42999999993</v>
      </c>
      <c r="N29" s="165">
        <f t="shared" si="7"/>
        <v>0</v>
      </c>
      <c r="O29" s="165">
        <f t="shared" si="7"/>
        <v>0</v>
      </c>
    </row>
    <row r="30" spans="1:15" x14ac:dyDescent="0.25">
      <c r="A30" s="146" t="s">
        <v>493</v>
      </c>
      <c r="B30" s="163">
        <f>SUM('TRANSFERENCIA CORRIENTE'!C31:E31)</f>
        <v>11630.98</v>
      </c>
      <c r="C30" s="163">
        <f>SUM('TRANSFERENCIA CORRIENTE'!F31:H31)</f>
        <v>566193.68999999994</v>
      </c>
      <c r="D30" s="163">
        <f>SUM('TRANSFERENCIA CORRIENTE'!I28:K28)</f>
        <v>0</v>
      </c>
      <c r="E30" s="163">
        <f>SUM('TRANSFERENCIA CORRIENTE'!L31:N31)</f>
        <v>0</v>
      </c>
      <c r="F30" s="462"/>
      <c r="G30" s="163">
        <f>SUM(VS!C31:E31)</f>
        <v>293957.3</v>
      </c>
      <c r="H30" s="163">
        <f>SUM(VS!F31:H31)</f>
        <v>0</v>
      </c>
      <c r="I30" s="163">
        <f>SUM(VS!I31:K31)</f>
        <v>0</v>
      </c>
      <c r="J30" s="164">
        <f>SUM(VS!L31:N31)</f>
        <v>0</v>
      </c>
      <c r="K30" s="462"/>
      <c r="L30" s="165">
        <f t="shared" si="11"/>
        <v>305588.27999999997</v>
      </c>
      <c r="M30" s="165">
        <f t="shared" si="11"/>
        <v>566193.68999999994</v>
      </c>
      <c r="N30" s="165">
        <f t="shared" si="11"/>
        <v>0</v>
      </c>
      <c r="O30" s="165">
        <f t="shared" si="11"/>
        <v>0</v>
      </c>
    </row>
    <row r="31" spans="1:15" x14ac:dyDescent="0.25">
      <c r="A31" s="146" t="s">
        <v>492</v>
      </c>
      <c r="B31" s="163">
        <f>SUM('TRANSFERENCIA CORRIENTE'!C32:E32)</f>
        <v>8910101.959999999</v>
      </c>
      <c r="C31" s="163">
        <f>SUM('TRANSFERENCIA CORRIENTE'!F32:H32)</f>
        <v>7168869.370000001</v>
      </c>
      <c r="D31" s="163">
        <f>SUM('TRANSFERENCIA CORRIENTE'!I29:K29)</f>
        <v>0</v>
      </c>
      <c r="E31" s="163">
        <f>SUM('TRANSFERENCIA CORRIENTE'!L32:N32)</f>
        <v>0</v>
      </c>
      <c r="F31" s="462"/>
      <c r="G31" s="163">
        <f>SUM(VS!C32:E32)</f>
        <v>1660334.56</v>
      </c>
      <c r="H31" s="163">
        <f>SUM(VS!F32:H32)</f>
        <v>1292460</v>
      </c>
      <c r="I31" s="163">
        <f>SUM(VS!I32:K32)</f>
        <v>0</v>
      </c>
      <c r="J31" s="164">
        <f>SUM(VS!L32:N32)</f>
        <v>0</v>
      </c>
      <c r="K31" s="462"/>
      <c r="L31" s="165">
        <f t="shared" si="11"/>
        <v>10570436.52</v>
      </c>
      <c r="M31" s="165">
        <f t="shared" si="11"/>
        <v>8461329.370000001</v>
      </c>
      <c r="N31" s="165">
        <f t="shared" si="11"/>
        <v>0</v>
      </c>
      <c r="O31" s="165">
        <f t="shared" si="11"/>
        <v>0</v>
      </c>
    </row>
    <row r="32" spans="1:15" x14ac:dyDescent="0.25">
      <c r="A32" s="146" t="s">
        <v>491</v>
      </c>
      <c r="B32" s="163">
        <f>SUM('TRANSFERENCIA CORRIENTE'!C33:E33)</f>
        <v>0</v>
      </c>
      <c r="C32" s="163">
        <f>SUM('TRANSFERENCIA CORRIENTE'!F33:H33)</f>
        <v>0</v>
      </c>
      <c r="D32" s="163">
        <f>SUM('TRANSFERENCIA CORRIENTE'!I30:K30)</f>
        <v>0</v>
      </c>
      <c r="E32" s="163">
        <f>SUM('TRANSFERENCIA CORRIENTE'!L33:N33)</f>
        <v>0</v>
      </c>
      <c r="F32" s="462"/>
      <c r="G32" s="163">
        <f>SUM(VS!C33:E33)</f>
        <v>0</v>
      </c>
      <c r="H32" s="163">
        <f>SUM(VS!F33:H33)</f>
        <v>0</v>
      </c>
      <c r="I32" s="163">
        <f>SUM(VS!I33:K33)</f>
        <v>0</v>
      </c>
      <c r="J32" s="164">
        <f>SUM(VS!L33:N33)</f>
        <v>0</v>
      </c>
      <c r="K32" s="462"/>
      <c r="L32" s="165">
        <f t="shared" si="11"/>
        <v>0</v>
      </c>
      <c r="M32" s="165">
        <f t="shared" si="11"/>
        <v>0</v>
      </c>
      <c r="N32" s="165">
        <f t="shared" si="11"/>
        <v>0</v>
      </c>
      <c r="O32" s="165">
        <f t="shared" si="11"/>
        <v>0</v>
      </c>
    </row>
    <row r="33" spans="1:15" x14ac:dyDescent="0.25">
      <c r="A33" s="146" t="s">
        <v>490</v>
      </c>
      <c r="B33" s="163">
        <f>SUM('TRANSFERENCIA CORRIENTE'!C34:E34)</f>
        <v>20497065.890000001</v>
      </c>
      <c r="C33" s="163">
        <f>SUM('TRANSFERENCIA CORRIENTE'!F34:H34)</f>
        <v>13055588.52</v>
      </c>
      <c r="D33" s="163">
        <f>SUM('TRANSFERENCIA CORRIENTE'!I31:K31)</f>
        <v>0</v>
      </c>
      <c r="E33" s="163">
        <f>SUM('TRANSFERENCIA CORRIENTE'!L34:N34)</f>
        <v>0</v>
      </c>
      <c r="F33" s="462"/>
      <c r="G33" s="163">
        <f>SUM(VS!C34:E34)</f>
        <v>2460841.75</v>
      </c>
      <c r="H33" s="163">
        <f>SUM(VS!F34:H34)</f>
        <v>2643564.7999999998</v>
      </c>
      <c r="I33" s="163">
        <f>SUM(VS!I34:K34)</f>
        <v>0</v>
      </c>
      <c r="J33" s="164">
        <f>SUM(VS!L34:N34)</f>
        <v>0</v>
      </c>
      <c r="K33" s="462"/>
      <c r="L33" s="165">
        <f t="shared" si="11"/>
        <v>22957907.640000001</v>
      </c>
      <c r="M33" s="165">
        <f t="shared" si="11"/>
        <v>15699153.32</v>
      </c>
      <c r="N33" s="165">
        <f t="shared" si="11"/>
        <v>0</v>
      </c>
      <c r="O33" s="165">
        <f t="shared" si="11"/>
        <v>0</v>
      </c>
    </row>
    <row r="34" spans="1:15" s="166" customFormat="1" x14ac:dyDescent="0.25">
      <c r="A34" s="152" t="s">
        <v>489</v>
      </c>
      <c r="B34" s="161">
        <f>SUM(B35:B41)</f>
        <v>0</v>
      </c>
      <c r="C34" s="161">
        <f t="shared" ref="C34:E34" si="12">SUM(C35:C41)</f>
        <v>0</v>
      </c>
      <c r="D34" s="161">
        <f t="shared" si="12"/>
        <v>0</v>
      </c>
      <c r="E34" s="161">
        <f t="shared" si="12"/>
        <v>0</v>
      </c>
      <c r="F34" s="462"/>
      <c r="G34" s="161">
        <f>SUM(G35:G41)</f>
        <v>287786.7</v>
      </c>
      <c r="H34" s="161">
        <f t="shared" ref="H34:J34" si="13">SUM(H35:H41)</f>
        <v>1105381</v>
      </c>
      <c r="I34" s="161">
        <f t="shared" si="13"/>
        <v>0</v>
      </c>
      <c r="J34" s="161">
        <f t="shared" si="13"/>
        <v>0</v>
      </c>
      <c r="K34" s="462"/>
      <c r="L34" s="162">
        <f t="shared" si="11"/>
        <v>287786.7</v>
      </c>
      <c r="M34" s="162">
        <f t="shared" si="11"/>
        <v>1105381</v>
      </c>
      <c r="N34" s="162">
        <f t="shared" si="11"/>
        <v>0</v>
      </c>
      <c r="O34" s="162">
        <f t="shared" si="11"/>
        <v>0</v>
      </c>
    </row>
    <row r="35" spans="1:15" x14ac:dyDescent="0.25">
      <c r="A35" s="146" t="s">
        <v>488</v>
      </c>
      <c r="B35" s="163">
        <f>SUM('TRANSFERENCIA CORRIENTE'!C36:E36)</f>
        <v>0</v>
      </c>
      <c r="C35" s="163">
        <f>SUM('TRANSFERENCIA CORRIENTE'!F36:H36)</f>
        <v>0</v>
      </c>
      <c r="D35" s="163">
        <f>SUM('TRANSFERENCIA CORRIENTE'!I36:K36)</f>
        <v>0</v>
      </c>
      <c r="E35" s="163">
        <f>SUM('TRANSFERENCIA CORRIENTE'!L36:N36)</f>
        <v>0</v>
      </c>
      <c r="F35" s="462"/>
      <c r="G35" s="163">
        <f>SUM(VS!C36:E36)</f>
        <v>287786.7</v>
      </c>
      <c r="H35" s="163">
        <f>SUM(VS!F36:H36)</f>
        <v>1105381</v>
      </c>
      <c r="I35" s="163">
        <f>SUM(VS!I36:K36)</f>
        <v>0</v>
      </c>
      <c r="J35" s="164">
        <f>SUM(VS!L36:N36)</f>
        <v>0</v>
      </c>
      <c r="K35" s="462"/>
      <c r="L35" s="165">
        <f t="shared" si="11"/>
        <v>287786.7</v>
      </c>
      <c r="M35" s="165">
        <f t="shared" si="11"/>
        <v>1105381</v>
      </c>
      <c r="N35" s="165">
        <f t="shared" si="11"/>
        <v>0</v>
      </c>
      <c r="O35" s="165">
        <f t="shared" si="11"/>
        <v>0</v>
      </c>
    </row>
    <row r="36" spans="1:15" x14ac:dyDescent="0.25">
      <c r="A36" s="146" t="s">
        <v>487</v>
      </c>
      <c r="B36" s="163">
        <f>SUM('TRANSFERENCIA CORRIENTE'!C37:E37)</f>
        <v>0</v>
      </c>
      <c r="C36" s="163">
        <f>SUM('TRANSFERENCIA CORRIENTE'!F37:H37)</f>
        <v>0</v>
      </c>
      <c r="D36" s="163">
        <f>SUM('TRANSFERENCIA CORRIENTE'!I37:K37)</f>
        <v>0</v>
      </c>
      <c r="E36" s="163">
        <f>SUM('TRANSFERENCIA CORRIENTE'!L37:N37)</f>
        <v>0</v>
      </c>
      <c r="F36" s="462"/>
      <c r="G36" s="163">
        <f>SUM(VS!C37:E37)</f>
        <v>0</v>
      </c>
      <c r="H36" s="163">
        <f>SUM(VS!F37:H37)</f>
        <v>0</v>
      </c>
      <c r="I36" s="163">
        <f>SUM(VS!I37:K37)</f>
        <v>0</v>
      </c>
      <c r="J36" s="164">
        <f>SUM(VS!L37:N37)</f>
        <v>0</v>
      </c>
      <c r="K36" s="462"/>
      <c r="L36" s="165">
        <f t="shared" si="11"/>
        <v>0</v>
      </c>
      <c r="M36" s="165">
        <f t="shared" si="11"/>
        <v>0</v>
      </c>
      <c r="N36" s="165">
        <f t="shared" si="11"/>
        <v>0</v>
      </c>
      <c r="O36" s="165">
        <f t="shared" si="11"/>
        <v>0</v>
      </c>
    </row>
    <row r="37" spans="1:15" x14ac:dyDescent="0.25">
      <c r="A37" s="146" t="s">
        <v>486</v>
      </c>
      <c r="B37" s="163">
        <f>SUM('TRANSFERENCIA CORRIENTE'!C38:E38)</f>
        <v>0</v>
      </c>
      <c r="C37" s="163">
        <f>SUM('TRANSFERENCIA CORRIENTE'!F38:H38)</f>
        <v>0</v>
      </c>
      <c r="D37" s="163">
        <f>SUM('TRANSFERENCIA CORRIENTE'!I38:K38)</f>
        <v>0</v>
      </c>
      <c r="E37" s="163">
        <f>SUM('TRANSFERENCIA CORRIENTE'!L38:N38)</f>
        <v>0</v>
      </c>
      <c r="F37" s="462"/>
      <c r="G37" s="163">
        <f>SUM(VS!C38:E38)</f>
        <v>0</v>
      </c>
      <c r="H37" s="163">
        <f>SUM(VS!F38:H38)</f>
        <v>0</v>
      </c>
      <c r="I37" s="163">
        <f>SUM(VS!I38:K38)</f>
        <v>0</v>
      </c>
      <c r="J37" s="164">
        <f>SUM(VS!L38:N38)</f>
        <v>0</v>
      </c>
      <c r="K37" s="462"/>
      <c r="L37" s="165">
        <f t="shared" si="11"/>
        <v>0</v>
      </c>
      <c r="M37" s="165">
        <f t="shared" si="11"/>
        <v>0</v>
      </c>
      <c r="N37" s="165">
        <f t="shared" si="11"/>
        <v>0</v>
      </c>
      <c r="O37" s="165">
        <f t="shared" si="11"/>
        <v>0</v>
      </c>
    </row>
    <row r="38" spans="1:15" x14ac:dyDescent="0.25">
      <c r="A38" s="146" t="s">
        <v>485</v>
      </c>
      <c r="B38" s="163">
        <f>SUM('TRANSFERENCIA CORRIENTE'!C39:E39)</f>
        <v>0</v>
      </c>
      <c r="C38" s="163">
        <f>SUM('TRANSFERENCIA CORRIENTE'!F39:H39)</f>
        <v>0</v>
      </c>
      <c r="D38" s="163">
        <f>SUM('TRANSFERENCIA CORRIENTE'!I39:K39)</f>
        <v>0</v>
      </c>
      <c r="E38" s="163">
        <f>SUM('TRANSFERENCIA CORRIENTE'!L39:N39)</f>
        <v>0</v>
      </c>
      <c r="F38" s="462"/>
      <c r="G38" s="163">
        <f>SUM(VS!C39:E39)</f>
        <v>0</v>
      </c>
      <c r="H38" s="163">
        <f>SUM(VS!F39:H39)</f>
        <v>0</v>
      </c>
      <c r="I38" s="163">
        <f>SUM(VS!I39:K39)</f>
        <v>0</v>
      </c>
      <c r="J38" s="164">
        <f>SUM(VS!L39:N39)</f>
        <v>0</v>
      </c>
      <c r="K38" s="462"/>
      <c r="L38" s="165">
        <f t="shared" si="11"/>
        <v>0</v>
      </c>
      <c r="M38" s="165">
        <f t="shared" si="11"/>
        <v>0</v>
      </c>
      <c r="N38" s="165">
        <f t="shared" si="11"/>
        <v>0</v>
      </c>
      <c r="O38" s="165">
        <f t="shared" si="11"/>
        <v>0</v>
      </c>
    </row>
    <row r="39" spans="1:15" x14ac:dyDescent="0.25">
      <c r="A39" s="146" t="s">
        <v>484</v>
      </c>
      <c r="B39" s="163">
        <f>SUM('TRANSFERENCIA CORRIENTE'!C40:E40)</f>
        <v>0</v>
      </c>
      <c r="C39" s="163">
        <f>SUM('TRANSFERENCIA CORRIENTE'!F40:H40)</f>
        <v>0</v>
      </c>
      <c r="D39" s="163">
        <f>SUM('TRANSFERENCIA CORRIENTE'!I40:K40)</f>
        <v>0</v>
      </c>
      <c r="E39" s="163">
        <f>SUM('TRANSFERENCIA CORRIENTE'!L40:N40)</f>
        <v>0</v>
      </c>
      <c r="F39" s="462"/>
      <c r="G39" s="163">
        <f>SUM(VS!C40:E40)</f>
        <v>0</v>
      </c>
      <c r="H39" s="163">
        <f>SUM(VS!F40:H40)</f>
        <v>0</v>
      </c>
      <c r="I39" s="163">
        <f>SUM(VS!I40:K40)</f>
        <v>0</v>
      </c>
      <c r="J39" s="164">
        <f>SUM(VS!L40:N40)</f>
        <v>0</v>
      </c>
      <c r="K39" s="462"/>
      <c r="L39" s="165">
        <f t="shared" si="11"/>
        <v>0</v>
      </c>
      <c r="M39" s="165">
        <f t="shared" si="11"/>
        <v>0</v>
      </c>
      <c r="N39" s="165">
        <f t="shared" si="11"/>
        <v>0</v>
      </c>
      <c r="O39" s="165">
        <f t="shared" si="11"/>
        <v>0</v>
      </c>
    </row>
    <row r="40" spans="1:15" x14ac:dyDescent="0.25">
      <c r="A40" s="146" t="s">
        <v>483</v>
      </c>
      <c r="B40" s="163">
        <f>SUM('TRANSFERENCIA CORRIENTE'!C41:E41)</f>
        <v>0</v>
      </c>
      <c r="C40" s="163">
        <f>SUM('TRANSFERENCIA CORRIENTE'!F41:H41)</f>
        <v>0</v>
      </c>
      <c r="D40" s="163">
        <f>SUM('TRANSFERENCIA CORRIENTE'!I41:K41)</f>
        <v>0</v>
      </c>
      <c r="E40" s="163">
        <f>SUM('TRANSFERENCIA CORRIENTE'!L41:N41)</f>
        <v>0</v>
      </c>
      <c r="F40" s="462"/>
      <c r="G40" s="163">
        <f>SUM(VS!C41:E41)</f>
        <v>0</v>
      </c>
      <c r="H40" s="163">
        <f>SUM(VS!F41:H41)</f>
        <v>0</v>
      </c>
      <c r="I40" s="163">
        <f>SUM(VS!I41:K41)</f>
        <v>0</v>
      </c>
      <c r="J40" s="164">
        <f>SUM(VS!L41:N41)</f>
        <v>0</v>
      </c>
      <c r="K40" s="462"/>
      <c r="L40" s="165">
        <f t="shared" si="11"/>
        <v>0</v>
      </c>
      <c r="M40" s="165">
        <f t="shared" si="11"/>
        <v>0</v>
      </c>
      <c r="N40" s="165">
        <f t="shared" si="11"/>
        <v>0</v>
      </c>
      <c r="O40" s="165">
        <f t="shared" si="11"/>
        <v>0</v>
      </c>
    </row>
    <row r="41" spans="1:15" x14ac:dyDescent="0.25">
      <c r="A41" s="146" t="s">
        <v>482</v>
      </c>
      <c r="B41" s="163">
        <f>SUM('TRANSFERENCIA CORRIENTE'!C42:E42)</f>
        <v>0</v>
      </c>
      <c r="C41" s="163">
        <f>SUM('TRANSFERENCIA CORRIENTE'!F42:H42)</f>
        <v>0</v>
      </c>
      <c r="D41" s="163">
        <f>SUM('TRANSFERENCIA CORRIENTE'!I42:K42)</f>
        <v>0</v>
      </c>
      <c r="E41" s="163">
        <f>SUM('TRANSFERENCIA CORRIENTE'!L42:N42)</f>
        <v>0</v>
      </c>
      <c r="F41" s="462"/>
      <c r="G41" s="163">
        <f>SUM(VS!C42:E42)</f>
        <v>0</v>
      </c>
      <c r="H41" s="163">
        <f>SUM(VS!F42:H42)</f>
        <v>0</v>
      </c>
      <c r="I41" s="163">
        <f>SUM(VS!I42:K42)</f>
        <v>0</v>
      </c>
      <c r="J41" s="164">
        <f>SUM(VS!L42:N42)</f>
        <v>0</v>
      </c>
      <c r="K41" s="462"/>
      <c r="L41" s="165">
        <f t="shared" ref="L41:O56" si="14">SUM(B41+G41)</f>
        <v>0</v>
      </c>
      <c r="M41" s="165">
        <f t="shared" si="14"/>
        <v>0</v>
      </c>
      <c r="N41" s="165">
        <f t="shared" si="14"/>
        <v>0</v>
      </c>
      <c r="O41" s="165">
        <f t="shared" si="14"/>
        <v>0</v>
      </c>
    </row>
    <row r="42" spans="1:15" x14ac:dyDescent="0.25">
      <c r="A42" s="152" t="s">
        <v>481</v>
      </c>
      <c r="B42" s="161">
        <f>SUM(B43:B49)</f>
        <v>0</v>
      </c>
      <c r="C42" s="161">
        <f t="shared" ref="C42:E42" si="15">SUM(C43:C49)</f>
        <v>0</v>
      </c>
      <c r="D42" s="161">
        <f t="shared" si="15"/>
        <v>0</v>
      </c>
      <c r="E42" s="161">
        <f t="shared" si="15"/>
        <v>0</v>
      </c>
      <c r="F42" s="462"/>
      <c r="G42" s="161">
        <f>SUM(G43:G49)</f>
        <v>0</v>
      </c>
      <c r="H42" s="161">
        <f t="shared" ref="H42:J42" si="16">SUM(H43:H49)</f>
        <v>0</v>
      </c>
      <c r="I42" s="161">
        <f t="shared" si="16"/>
        <v>0</v>
      </c>
      <c r="J42" s="161">
        <f t="shared" si="16"/>
        <v>0</v>
      </c>
      <c r="K42" s="462"/>
      <c r="L42" s="162">
        <f>SUM(B42+G42)</f>
        <v>0</v>
      </c>
      <c r="M42" s="162">
        <f t="shared" si="14"/>
        <v>0</v>
      </c>
      <c r="N42" s="162">
        <f>SUM(D42+I42)</f>
        <v>0</v>
      </c>
      <c r="O42" s="162">
        <f>SUM(E42+J42)</f>
        <v>0</v>
      </c>
    </row>
    <row r="43" spans="1:15" x14ac:dyDescent="0.25">
      <c r="A43" s="146" t="s">
        <v>480</v>
      </c>
      <c r="B43" s="163">
        <f>SUM('TRANSFERENCIA CORRIENTE'!C44:E44)</f>
        <v>0</v>
      </c>
      <c r="C43" s="163">
        <f>SUM('TRANSFERENCIA CORRIENTE'!F44:H44)</f>
        <v>0</v>
      </c>
      <c r="D43" s="163">
        <f>SUM('TRANSFERENCIA CORRIENTE'!I44:K44)</f>
        <v>0</v>
      </c>
      <c r="E43" s="163">
        <f>SUM('TRANSFERENCIA CORRIENTE'!L44:N44)</f>
        <v>0</v>
      </c>
      <c r="F43" s="462"/>
      <c r="G43" s="163">
        <f>SUM(VS!C44:E44)</f>
        <v>0</v>
      </c>
      <c r="H43" s="163">
        <f>SUM(VS!F44:H44)</f>
        <v>0</v>
      </c>
      <c r="I43" s="163">
        <f>SUM(VS!I44:K44)</f>
        <v>0</v>
      </c>
      <c r="J43" s="164">
        <f>SUM(VS!L44:N44)</f>
        <v>0</v>
      </c>
      <c r="K43" s="462"/>
      <c r="L43" s="165">
        <f t="shared" ref="L43:L49" si="17">SUM(B43+G43)</f>
        <v>0</v>
      </c>
      <c r="M43" s="165">
        <f t="shared" si="14"/>
        <v>0</v>
      </c>
      <c r="N43" s="165">
        <f t="shared" si="14"/>
        <v>0</v>
      </c>
      <c r="O43" s="165">
        <f t="shared" si="14"/>
        <v>0</v>
      </c>
    </row>
    <row r="44" spans="1:15" x14ac:dyDescent="0.25">
      <c r="A44" s="146" t="s">
        <v>479</v>
      </c>
      <c r="B44" s="163">
        <f>SUM('TRANSFERENCIA CORRIENTE'!C45:E45)</f>
        <v>0</v>
      </c>
      <c r="C44" s="163">
        <f>SUM('TRANSFERENCIA CORRIENTE'!F45:H45)</f>
        <v>0</v>
      </c>
      <c r="D44" s="163">
        <f>SUM('TRANSFERENCIA CORRIENTE'!I45:K45)</f>
        <v>0</v>
      </c>
      <c r="E44" s="163">
        <f>SUM('TRANSFERENCIA CORRIENTE'!L45:N45)</f>
        <v>0</v>
      </c>
      <c r="F44" s="462"/>
      <c r="G44" s="163">
        <f>SUM(VS!C45:E45)</f>
        <v>0</v>
      </c>
      <c r="H44" s="163">
        <f>SUM(VS!F45:H45)</f>
        <v>0</v>
      </c>
      <c r="I44" s="163">
        <f>SUM(VS!I45:K45)</f>
        <v>0</v>
      </c>
      <c r="J44" s="164">
        <f>SUM(VS!L45:N45)</f>
        <v>0</v>
      </c>
      <c r="K44" s="462"/>
      <c r="L44" s="165">
        <f t="shared" si="17"/>
        <v>0</v>
      </c>
      <c r="M44" s="165">
        <f t="shared" si="14"/>
        <v>0</v>
      </c>
      <c r="N44" s="165">
        <f t="shared" si="14"/>
        <v>0</v>
      </c>
      <c r="O44" s="165">
        <f t="shared" si="14"/>
        <v>0</v>
      </c>
    </row>
    <row r="45" spans="1:15" x14ac:dyDescent="0.25">
      <c r="A45" s="146" t="s">
        <v>478</v>
      </c>
      <c r="B45" s="163">
        <f>SUM('TRANSFERENCIA CORRIENTE'!C46:E46)</f>
        <v>0</v>
      </c>
      <c r="C45" s="163">
        <f>SUM('TRANSFERENCIA CORRIENTE'!F46:H46)</f>
        <v>0</v>
      </c>
      <c r="D45" s="163">
        <f>SUM('TRANSFERENCIA CORRIENTE'!I46:K46)</f>
        <v>0</v>
      </c>
      <c r="E45" s="163">
        <f>SUM('TRANSFERENCIA CORRIENTE'!L46:N46)</f>
        <v>0</v>
      </c>
      <c r="F45" s="462"/>
      <c r="G45" s="163">
        <f>SUM(VS!C46:E46)</f>
        <v>0</v>
      </c>
      <c r="H45" s="163">
        <f>SUM(VS!F46:H46)</f>
        <v>0</v>
      </c>
      <c r="I45" s="163">
        <f>SUM(VS!I46:K46)</f>
        <v>0</v>
      </c>
      <c r="J45" s="164">
        <f>SUM(VS!L46:N46)</f>
        <v>0</v>
      </c>
      <c r="K45" s="462"/>
      <c r="L45" s="165">
        <f t="shared" si="17"/>
        <v>0</v>
      </c>
      <c r="M45" s="165">
        <f t="shared" si="14"/>
        <v>0</v>
      </c>
      <c r="N45" s="165">
        <f t="shared" si="14"/>
        <v>0</v>
      </c>
      <c r="O45" s="165">
        <f t="shared" si="14"/>
        <v>0</v>
      </c>
    </row>
    <row r="46" spans="1:15" x14ac:dyDescent="0.25">
      <c r="A46" s="146" t="s">
        <v>477</v>
      </c>
      <c r="B46" s="163">
        <f>SUM('TRANSFERENCIA CORRIENTE'!C47:E47)</f>
        <v>0</v>
      </c>
      <c r="C46" s="163">
        <f>SUM('TRANSFERENCIA CORRIENTE'!F47:H47)</f>
        <v>0</v>
      </c>
      <c r="D46" s="163">
        <f>SUM('TRANSFERENCIA CORRIENTE'!I47:K47)</f>
        <v>0</v>
      </c>
      <c r="E46" s="163">
        <f>SUM('TRANSFERENCIA CORRIENTE'!L47:N47)</f>
        <v>0</v>
      </c>
      <c r="F46" s="462"/>
      <c r="G46" s="163">
        <f>SUM(VS!C47:E47)</f>
        <v>0</v>
      </c>
      <c r="H46" s="163">
        <f>SUM(VS!F47:H47)</f>
        <v>0</v>
      </c>
      <c r="I46" s="163">
        <f>SUM(VS!I47:K47)</f>
        <v>0</v>
      </c>
      <c r="J46" s="164">
        <f>SUM(VS!L47:N47)</f>
        <v>0</v>
      </c>
      <c r="K46" s="462"/>
      <c r="L46" s="165">
        <f t="shared" si="17"/>
        <v>0</v>
      </c>
      <c r="M46" s="165">
        <f t="shared" si="14"/>
        <v>0</v>
      </c>
      <c r="N46" s="165">
        <f t="shared" si="14"/>
        <v>0</v>
      </c>
      <c r="O46" s="165">
        <f t="shared" si="14"/>
        <v>0</v>
      </c>
    </row>
    <row r="47" spans="1:15" x14ac:dyDescent="0.25">
      <c r="A47" s="146" t="s">
        <v>476</v>
      </c>
      <c r="B47" s="163">
        <f>SUM('TRANSFERENCIA CORRIENTE'!C48:E48)</f>
        <v>0</v>
      </c>
      <c r="C47" s="163">
        <f>SUM('TRANSFERENCIA CORRIENTE'!F48:H48)</f>
        <v>0</v>
      </c>
      <c r="D47" s="163">
        <f>SUM('TRANSFERENCIA CORRIENTE'!I48:K48)</f>
        <v>0</v>
      </c>
      <c r="E47" s="163">
        <f>SUM('TRANSFERENCIA CORRIENTE'!L48:N48)</f>
        <v>0</v>
      </c>
      <c r="F47" s="462"/>
      <c r="G47" s="163">
        <f>SUM(VS!C48:E48)</f>
        <v>0</v>
      </c>
      <c r="H47" s="163">
        <f>SUM(VS!F48:H48)</f>
        <v>0</v>
      </c>
      <c r="I47" s="163">
        <f>SUM(VS!I48:K48)</f>
        <v>0</v>
      </c>
      <c r="J47" s="164">
        <f>SUM(VS!L48:N48)</f>
        <v>0</v>
      </c>
      <c r="K47" s="462"/>
      <c r="L47" s="165">
        <f t="shared" si="17"/>
        <v>0</v>
      </c>
      <c r="M47" s="165">
        <f t="shared" si="14"/>
        <v>0</v>
      </c>
      <c r="N47" s="165">
        <f t="shared" si="14"/>
        <v>0</v>
      </c>
      <c r="O47" s="165">
        <f t="shared" si="14"/>
        <v>0</v>
      </c>
    </row>
    <row r="48" spans="1:15" x14ac:dyDescent="0.25">
      <c r="A48" s="146" t="s">
        <v>475</v>
      </c>
      <c r="B48" s="163">
        <f>SUM('TRANSFERENCIA CORRIENTE'!C49:E49)</f>
        <v>0</v>
      </c>
      <c r="C48" s="163">
        <f>SUM('TRANSFERENCIA CORRIENTE'!F49:H49)</f>
        <v>0</v>
      </c>
      <c r="D48" s="163">
        <f>SUM('TRANSFERENCIA CORRIENTE'!I49:K49)</f>
        <v>0</v>
      </c>
      <c r="E48" s="163">
        <f>SUM('TRANSFERENCIA CORRIENTE'!L49:N49)</f>
        <v>0</v>
      </c>
      <c r="F48" s="462"/>
      <c r="G48" s="163">
        <f>SUM(VS!C49:E49)</f>
        <v>0</v>
      </c>
      <c r="H48" s="163">
        <f>SUM(VS!F49:H49)</f>
        <v>0</v>
      </c>
      <c r="I48" s="163">
        <f>SUM(VS!I49:K49)</f>
        <v>0</v>
      </c>
      <c r="J48" s="164">
        <f>SUM(VS!L49:N49)</f>
        <v>0</v>
      </c>
      <c r="K48" s="462"/>
      <c r="L48" s="165">
        <f t="shared" si="17"/>
        <v>0</v>
      </c>
      <c r="M48" s="165">
        <f t="shared" si="14"/>
        <v>0</v>
      </c>
      <c r="N48" s="165">
        <f t="shared" si="14"/>
        <v>0</v>
      </c>
      <c r="O48" s="165">
        <f t="shared" si="14"/>
        <v>0</v>
      </c>
    </row>
    <row r="49" spans="1:15" x14ac:dyDescent="0.25">
      <c r="A49" s="146" t="s">
        <v>474</v>
      </c>
      <c r="B49" s="163">
        <f>SUM('TRANSFERENCIA CORRIENTE'!C50:E50)</f>
        <v>0</v>
      </c>
      <c r="C49" s="163">
        <f>SUM('TRANSFERENCIA CORRIENTE'!F50:H50)</f>
        <v>0</v>
      </c>
      <c r="D49" s="163">
        <f>SUM('TRANSFERENCIA CORRIENTE'!I50:K50)</f>
        <v>0</v>
      </c>
      <c r="E49" s="163">
        <f>SUM('TRANSFERENCIA CORRIENTE'!L50:N50)</f>
        <v>0</v>
      </c>
      <c r="F49" s="462"/>
      <c r="G49" s="163">
        <f>SUM(VS!C50:E50)</f>
        <v>0</v>
      </c>
      <c r="H49" s="163">
        <f>SUM(VS!F50:H50)</f>
        <v>0</v>
      </c>
      <c r="I49" s="163">
        <f>SUM(VS!I50:K50)</f>
        <v>0</v>
      </c>
      <c r="J49" s="164">
        <f>SUM(VS!L50:N50)</f>
        <v>0</v>
      </c>
      <c r="K49" s="462"/>
      <c r="L49" s="165">
        <f t="shared" si="17"/>
        <v>0</v>
      </c>
      <c r="M49" s="165">
        <f t="shared" si="14"/>
        <v>0</v>
      </c>
      <c r="N49" s="165">
        <f t="shared" si="14"/>
        <v>0</v>
      </c>
      <c r="O49" s="165">
        <f t="shared" si="14"/>
        <v>0</v>
      </c>
    </row>
    <row r="50" spans="1:15" s="166" customFormat="1" x14ac:dyDescent="0.25">
      <c r="A50" s="152" t="s">
        <v>473</v>
      </c>
      <c r="B50" s="161">
        <f>SUM(B51:B59)</f>
        <v>17857866.620000001</v>
      </c>
      <c r="C50" s="161">
        <f t="shared" ref="C50:E50" si="18">SUM(C51:C59)</f>
        <v>11245714.529999999</v>
      </c>
      <c r="D50" s="161">
        <f t="shared" si="18"/>
        <v>0</v>
      </c>
      <c r="E50" s="161">
        <f t="shared" si="18"/>
        <v>0</v>
      </c>
      <c r="F50" s="462"/>
      <c r="G50" s="161">
        <f t="shared" ref="G50:J50" si="19">SUM(G51:G59)</f>
        <v>5076044.21</v>
      </c>
      <c r="H50" s="161">
        <f t="shared" si="19"/>
        <v>3927042.19</v>
      </c>
      <c r="I50" s="161">
        <f t="shared" si="19"/>
        <v>0</v>
      </c>
      <c r="J50" s="161">
        <f t="shared" si="19"/>
        <v>0</v>
      </c>
      <c r="K50" s="462"/>
      <c r="L50" s="162">
        <f>SUM(B50+G50)</f>
        <v>22933910.830000002</v>
      </c>
      <c r="M50" s="162">
        <f t="shared" si="14"/>
        <v>15172756.719999999</v>
      </c>
      <c r="N50" s="162">
        <f t="shared" si="14"/>
        <v>0</v>
      </c>
      <c r="O50" s="162">
        <f t="shared" si="14"/>
        <v>0</v>
      </c>
    </row>
    <row r="51" spans="1:15" x14ac:dyDescent="0.25">
      <c r="A51" s="146" t="s">
        <v>472</v>
      </c>
      <c r="B51" s="163">
        <f>SUM('TRANSFERENCIA CORRIENTE'!C52:E52)</f>
        <v>1110625.8599999999</v>
      </c>
      <c r="C51" s="163">
        <f>SUM('TRANSFERENCIA CORRIENTE'!F52:H52)</f>
        <v>2043918.73</v>
      </c>
      <c r="D51" s="163">
        <f>SUM('TRANSFERENCIA CORRIENTE'!I52:K52)</f>
        <v>0</v>
      </c>
      <c r="E51" s="163">
        <f>SUM('TRANSFERENCIA CORRIENTE'!L52:N52)</f>
        <v>0</v>
      </c>
      <c r="F51" s="462"/>
      <c r="G51" s="163">
        <f>SUM(VS!C52:E52)</f>
        <v>0</v>
      </c>
      <c r="H51" s="163">
        <f>SUM(VS!F52:H52)</f>
        <v>0</v>
      </c>
      <c r="I51" s="163">
        <f>SUM(VS!I52:K52)</f>
        <v>0</v>
      </c>
      <c r="J51" s="164">
        <f>SUM(VS!L52:N52)</f>
        <v>0</v>
      </c>
      <c r="K51" s="462"/>
      <c r="L51" s="165">
        <f t="shared" ref="L51:O66" si="20">SUM(B51+G51)</f>
        <v>1110625.8599999999</v>
      </c>
      <c r="M51" s="165">
        <f t="shared" si="14"/>
        <v>2043918.73</v>
      </c>
      <c r="N51" s="165">
        <f t="shared" si="14"/>
        <v>0</v>
      </c>
      <c r="O51" s="165">
        <f t="shared" si="14"/>
        <v>0</v>
      </c>
    </row>
    <row r="52" spans="1:15" x14ac:dyDescent="0.25">
      <c r="A52" s="146" t="s">
        <v>471</v>
      </c>
      <c r="B52" s="163">
        <f>SUM('TRANSFERENCIA CORRIENTE'!C53:E53)</f>
        <v>0</v>
      </c>
      <c r="C52" s="163">
        <f>SUM('TRANSFERENCIA CORRIENTE'!F53:H53)</f>
        <v>182926.74</v>
      </c>
      <c r="D52" s="163">
        <f>SUM('TRANSFERENCIA CORRIENTE'!I53:K53)</f>
        <v>0</v>
      </c>
      <c r="E52" s="163">
        <f>SUM('TRANSFERENCIA CORRIENTE'!L53:N53)</f>
        <v>0</v>
      </c>
      <c r="F52" s="462"/>
      <c r="G52" s="163">
        <f>SUM(VS!C53:E53)</f>
        <v>0</v>
      </c>
      <c r="H52" s="163">
        <f>SUM(VS!F53:H53)</f>
        <v>0</v>
      </c>
      <c r="I52" s="163">
        <f>SUM(VS!I53:K53)</f>
        <v>0</v>
      </c>
      <c r="J52" s="164">
        <f>SUM(VS!L53:N53)</f>
        <v>0</v>
      </c>
      <c r="K52" s="462"/>
      <c r="L52" s="165">
        <f t="shared" si="20"/>
        <v>0</v>
      </c>
      <c r="M52" s="165">
        <f t="shared" si="14"/>
        <v>182926.74</v>
      </c>
      <c r="N52" s="165">
        <f t="shared" si="14"/>
        <v>0</v>
      </c>
      <c r="O52" s="165">
        <f t="shared" si="14"/>
        <v>0</v>
      </c>
    </row>
    <row r="53" spans="1:15" x14ac:dyDescent="0.25">
      <c r="A53" s="146" t="s">
        <v>470</v>
      </c>
      <c r="B53" s="163">
        <f>SUM('TRANSFERENCIA CORRIENTE'!C54:E54)</f>
        <v>16744040.790000001</v>
      </c>
      <c r="C53" s="163">
        <f>SUM('TRANSFERENCIA CORRIENTE'!F54:H54)</f>
        <v>4920998.57</v>
      </c>
      <c r="D53" s="163">
        <f>SUM('TRANSFERENCIA CORRIENTE'!I54:K54)</f>
        <v>0</v>
      </c>
      <c r="E53" s="163">
        <f>SUM('TRANSFERENCIA CORRIENTE'!L54:N54)</f>
        <v>0</v>
      </c>
      <c r="F53" s="462"/>
      <c r="G53" s="163">
        <f>SUM(VS!C54:E54)</f>
        <v>2963024.84</v>
      </c>
      <c r="H53" s="163">
        <f>SUM(VS!F54:H54)</f>
        <v>3927042.19</v>
      </c>
      <c r="I53" s="163">
        <f>SUM(VS!I54:K54)</f>
        <v>0</v>
      </c>
      <c r="J53" s="164">
        <f>SUM(VS!L54:N54)</f>
        <v>0</v>
      </c>
      <c r="K53" s="462"/>
      <c r="L53" s="165">
        <f t="shared" si="20"/>
        <v>19707065.630000003</v>
      </c>
      <c r="M53" s="165">
        <f t="shared" si="14"/>
        <v>8848040.7599999998</v>
      </c>
      <c r="N53" s="165">
        <f t="shared" si="14"/>
        <v>0</v>
      </c>
      <c r="O53" s="165">
        <f t="shared" si="14"/>
        <v>0</v>
      </c>
    </row>
    <row r="54" spans="1:15" x14ac:dyDescent="0.25">
      <c r="A54" s="146" t="s">
        <v>469</v>
      </c>
      <c r="B54" s="163">
        <f>SUM('TRANSFERENCIA CORRIENTE'!C55:E55)</f>
        <v>0</v>
      </c>
      <c r="C54" s="163">
        <f>SUM('TRANSFERENCIA CORRIENTE'!F55:H55)</f>
        <v>0</v>
      </c>
      <c r="D54" s="163">
        <f>SUM('TRANSFERENCIA CORRIENTE'!I55:K55)</f>
        <v>0</v>
      </c>
      <c r="E54" s="163">
        <f>SUM('TRANSFERENCIA CORRIENTE'!L55:N55)</f>
        <v>0</v>
      </c>
      <c r="F54" s="462"/>
      <c r="G54" s="163">
        <f>SUM(VS!C55:E55)</f>
        <v>107609.37</v>
      </c>
      <c r="H54" s="163">
        <f>SUM(VS!F55:H55)</f>
        <v>0</v>
      </c>
      <c r="I54" s="163">
        <f>SUM(VS!I55:K55)</f>
        <v>0</v>
      </c>
      <c r="J54" s="164">
        <f>SUM(VS!L55:N55)</f>
        <v>0</v>
      </c>
      <c r="K54" s="462"/>
      <c r="L54" s="165">
        <f t="shared" si="20"/>
        <v>107609.37</v>
      </c>
      <c r="M54" s="165">
        <f t="shared" si="14"/>
        <v>0</v>
      </c>
      <c r="N54" s="165">
        <f t="shared" si="14"/>
        <v>0</v>
      </c>
      <c r="O54" s="165">
        <f t="shared" si="14"/>
        <v>0</v>
      </c>
    </row>
    <row r="55" spans="1:15" x14ac:dyDescent="0.25">
      <c r="A55" s="146" t="s">
        <v>468</v>
      </c>
      <c r="B55" s="163">
        <f>SUM('TRANSFERENCIA CORRIENTE'!C56:E56)</f>
        <v>3199.97</v>
      </c>
      <c r="C55" s="163">
        <f>SUM('TRANSFERENCIA CORRIENTE'!F56:H56)</f>
        <v>3752309.55</v>
      </c>
      <c r="D55" s="163">
        <f>SUM('TRANSFERENCIA CORRIENTE'!I56:K56)</f>
        <v>0</v>
      </c>
      <c r="E55" s="163">
        <f>SUM('TRANSFERENCIA CORRIENTE'!L56:N56)</f>
        <v>0</v>
      </c>
      <c r="F55" s="462"/>
      <c r="G55" s="163">
        <f>SUM(VS!C56:E56)</f>
        <v>2005410</v>
      </c>
      <c r="H55" s="163">
        <f>SUM(VS!F56:H56)</f>
        <v>0</v>
      </c>
      <c r="I55" s="163">
        <f>SUM(VS!I56:K56)</f>
        <v>0</v>
      </c>
      <c r="J55" s="164">
        <f>SUM(VS!L56:N56)</f>
        <v>0</v>
      </c>
      <c r="K55" s="462"/>
      <c r="L55" s="165">
        <f t="shared" si="20"/>
        <v>2008609.97</v>
      </c>
      <c r="M55" s="165">
        <f t="shared" si="14"/>
        <v>3752309.55</v>
      </c>
      <c r="N55" s="165">
        <f t="shared" si="14"/>
        <v>0</v>
      </c>
      <c r="O55" s="165">
        <f t="shared" si="14"/>
        <v>0</v>
      </c>
    </row>
    <row r="56" spans="1:15" x14ac:dyDescent="0.25">
      <c r="A56" s="146" t="s">
        <v>467</v>
      </c>
      <c r="B56" s="163">
        <f>SUM('TRANSFERENCIA CORRIENTE'!C57:E57)</f>
        <v>0</v>
      </c>
      <c r="C56" s="163">
        <f>SUM('TRANSFERENCIA CORRIENTE'!F57:H57)</f>
        <v>0</v>
      </c>
      <c r="D56" s="163">
        <f>SUM('TRANSFERENCIA CORRIENTE'!I57:K57)</f>
        <v>0</v>
      </c>
      <c r="E56" s="163">
        <f>SUM('TRANSFERENCIA CORRIENTE'!L57:N57)</f>
        <v>0</v>
      </c>
      <c r="F56" s="462"/>
      <c r="G56" s="163">
        <f>SUM(VS!C57:E57)</f>
        <v>0</v>
      </c>
      <c r="H56" s="163">
        <f>SUM(VS!F57:H57)</f>
        <v>0</v>
      </c>
      <c r="I56" s="163">
        <f>SUM(VS!I57:K57)</f>
        <v>0</v>
      </c>
      <c r="J56" s="164">
        <f>SUM(VS!L57:N57)</f>
        <v>0</v>
      </c>
      <c r="K56" s="462"/>
      <c r="L56" s="165">
        <f t="shared" si="20"/>
        <v>0</v>
      </c>
      <c r="M56" s="165">
        <f t="shared" si="14"/>
        <v>0</v>
      </c>
      <c r="N56" s="165">
        <f t="shared" si="14"/>
        <v>0</v>
      </c>
      <c r="O56" s="165">
        <f t="shared" si="14"/>
        <v>0</v>
      </c>
    </row>
    <row r="57" spans="1:15" x14ac:dyDescent="0.25">
      <c r="A57" s="146" t="s">
        <v>466</v>
      </c>
      <c r="B57" s="163">
        <f>SUM('TRANSFERENCIA CORRIENTE'!C58:E58)</f>
        <v>0</v>
      </c>
      <c r="C57" s="163">
        <f>SUM('TRANSFERENCIA CORRIENTE'!F58:H58)</f>
        <v>0</v>
      </c>
      <c r="D57" s="163">
        <f>SUM('TRANSFERENCIA CORRIENTE'!I58:K58)</f>
        <v>0</v>
      </c>
      <c r="E57" s="163">
        <f>SUM('TRANSFERENCIA CORRIENTE'!L58:N58)</f>
        <v>0</v>
      </c>
      <c r="F57" s="462"/>
      <c r="G57" s="163">
        <f>SUM(VS!C58:E58)</f>
        <v>0</v>
      </c>
      <c r="H57" s="163">
        <f>SUM(VS!F58:H58)</f>
        <v>0</v>
      </c>
      <c r="I57" s="163">
        <f>SUM(VS!I58:K58)</f>
        <v>0</v>
      </c>
      <c r="J57" s="164">
        <f>SUM(VS!L58:N58)</f>
        <v>0</v>
      </c>
      <c r="K57" s="462"/>
      <c r="L57" s="165">
        <f t="shared" si="20"/>
        <v>0</v>
      </c>
      <c r="M57" s="165">
        <f t="shared" si="20"/>
        <v>0</v>
      </c>
      <c r="N57" s="165">
        <f t="shared" si="20"/>
        <v>0</v>
      </c>
      <c r="O57" s="165">
        <f t="shared" si="20"/>
        <v>0</v>
      </c>
    </row>
    <row r="58" spans="1:15" x14ac:dyDescent="0.25">
      <c r="A58" s="146" t="s">
        <v>465</v>
      </c>
      <c r="B58" s="163">
        <f>SUM('TRANSFERENCIA CORRIENTE'!C59:E59)</f>
        <v>0</v>
      </c>
      <c r="C58" s="163">
        <f>SUM('TRANSFERENCIA CORRIENTE'!F59:H59)</f>
        <v>0</v>
      </c>
      <c r="D58" s="163">
        <f>SUM('TRANSFERENCIA CORRIENTE'!I59:K59)</f>
        <v>0</v>
      </c>
      <c r="E58" s="163">
        <f>SUM('TRANSFERENCIA CORRIENTE'!L59:N59)</f>
        <v>0</v>
      </c>
      <c r="F58" s="462"/>
      <c r="G58" s="163">
        <f>SUM(VS!C59:E59)</f>
        <v>0</v>
      </c>
      <c r="H58" s="163">
        <f>SUM(VS!F59:H59)</f>
        <v>0</v>
      </c>
      <c r="I58" s="163">
        <f>SUM(VS!I59:K59)</f>
        <v>0</v>
      </c>
      <c r="J58" s="164">
        <f>SUM(VS!L59:N59)</f>
        <v>0</v>
      </c>
      <c r="K58" s="462"/>
      <c r="L58" s="165">
        <f t="shared" si="20"/>
        <v>0</v>
      </c>
      <c r="M58" s="165">
        <f t="shared" si="20"/>
        <v>0</v>
      </c>
      <c r="N58" s="165">
        <f t="shared" si="20"/>
        <v>0</v>
      </c>
      <c r="O58" s="165">
        <f t="shared" si="20"/>
        <v>0</v>
      </c>
    </row>
    <row r="59" spans="1:15" x14ac:dyDescent="0.25">
      <c r="A59" s="146" t="s">
        <v>464</v>
      </c>
      <c r="B59" s="163">
        <f>SUM('TRANSFERENCIA CORRIENTE'!C60:E60)</f>
        <v>0</v>
      </c>
      <c r="C59" s="163">
        <f>SUM('TRANSFERENCIA CORRIENTE'!F60:H60)</f>
        <v>345560.94</v>
      </c>
      <c r="D59" s="163">
        <f>SUM('TRANSFERENCIA CORRIENTE'!I60:K60)</f>
        <v>0</v>
      </c>
      <c r="E59" s="163">
        <f>SUM('TRANSFERENCIA CORRIENTE'!L60:N60)</f>
        <v>0</v>
      </c>
      <c r="F59" s="462"/>
      <c r="G59" s="163">
        <f>SUM(VS!C60:E60)</f>
        <v>0</v>
      </c>
      <c r="H59" s="163">
        <f>SUM(VS!F60:H60)</f>
        <v>0</v>
      </c>
      <c r="I59" s="163">
        <f>SUM(VS!I60:K60)</f>
        <v>0</v>
      </c>
      <c r="J59" s="164">
        <f>SUM(VS!L60:N60)</f>
        <v>0</v>
      </c>
      <c r="K59" s="462"/>
      <c r="L59" s="165">
        <f t="shared" si="20"/>
        <v>0</v>
      </c>
      <c r="M59" s="165">
        <f t="shared" si="20"/>
        <v>345560.94</v>
      </c>
      <c r="N59" s="165">
        <f t="shared" si="20"/>
        <v>0</v>
      </c>
      <c r="O59" s="165">
        <f t="shared" si="20"/>
        <v>0</v>
      </c>
    </row>
    <row r="60" spans="1:15" s="166" customFormat="1" x14ac:dyDescent="0.25">
      <c r="A60" s="152" t="s">
        <v>463</v>
      </c>
      <c r="B60" s="161">
        <f>SUM(B61:B64)</f>
        <v>0</v>
      </c>
      <c r="C60" s="161">
        <f t="shared" ref="C60:E60" si="21">SUM(C61:C64)</f>
        <v>0</v>
      </c>
      <c r="D60" s="161">
        <f t="shared" si="21"/>
        <v>0</v>
      </c>
      <c r="E60" s="161">
        <f t="shared" si="21"/>
        <v>0</v>
      </c>
      <c r="F60" s="462"/>
      <c r="G60" s="161">
        <f t="shared" ref="G60:J60" si="22">SUM(G61:G64)</f>
        <v>0</v>
      </c>
      <c r="H60" s="161">
        <f t="shared" si="22"/>
        <v>0</v>
      </c>
      <c r="I60" s="161">
        <f t="shared" si="22"/>
        <v>0</v>
      </c>
      <c r="J60" s="161">
        <f t="shared" si="22"/>
        <v>0</v>
      </c>
      <c r="K60" s="462"/>
      <c r="L60" s="167">
        <f>SUM(B60+G60)</f>
        <v>0</v>
      </c>
      <c r="M60" s="167">
        <f t="shared" si="20"/>
        <v>0</v>
      </c>
      <c r="N60" s="167">
        <f t="shared" si="20"/>
        <v>0</v>
      </c>
      <c r="O60" s="167">
        <f t="shared" si="20"/>
        <v>0</v>
      </c>
    </row>
    <row r="61" spans="1:15" x14ac:dyDescent="0.25">
      <c r="A61" s="146" t="s">
        <v>462</v>
      </c>
      <c r="B61" s="163">
        <f>SUM('TRANSFERENCIA CORRIENTE'!C62:E62)</f>
        <v>0</v>
      </c>
      <c r="C61" s="163">
        <f>SUM('TRANSFERENCIA CORRIENTE'!F62:H62)</f>
        <v>0</v>
      </c>
      <c r="D61" s="163">
        <f>SUM('TRANSFERENCIA CORRIENTE'!I62:K62)</f>
        <v>0</v>
      </c>
      <c r="E61" s="163">
        <f>SUM('TRANSFERENCIA CORRIENTE'!L62:N62)</f>
        <v>0</v>
      </c>
      <c r="F61" s="462"/>
      <c r="G61" s="163">
        <f>SUM(VS!C62:E62)</f>
        <v>0</v>
      </c>
      <c r="H61" s="163">
        <f>SUM(VS!F62:H62)</f>
        <v>0</v>
      </c>
      <c r="I61" s="163">
        <f>SUM(VS!I62:K62)</f>
        <v>0</v>
      </c>
      <c r="J61" s="164">
        <f>SUM(VS!L62:N62)</f>
        <v>0</v>
      </c>
      <c r="K61" s="462"/>
      <c r="L61" s="165">
        <f t="shared" ref="L61:L64" si="23">SUM(B61+G61)</f>
        <v>0</v>
      </c>
      <c r="M61" s="165">
        <f t="shared" si="20"/>
        <v>0</v>
      </c>
      <c r="N61" s="165">
        <f t="shared" si="20"/>
        <v>0</v>
      </c>
      <c r="O61" s="165">
        <f t="shared" si="20"/>
        <v>0</v>
      </c>
    </row>
    <row r="62" spans="1:15" x14ac:dyDescent="0.25">
      <c r="A62" s="146" t="s">
        <v>461</v>
      </c>
      <c r="B62" s="163">
        <f>SUM('TRANSFERENCIA CORRIENTE'!C63:E63)</f>
        <v>0</v>
      </c>
      <c r="C62" s="163">
        <f>SUM('TRANSFERENCIA CORRIENTE'!F63:H63)</f>
        <v>0</v>
      </c>
      <c r="D62" s="163">
        <f>SUM('TRANSFERENCIA CORRIENTE'!I63:K63)</f>
        <v>0</v>
      </c>
      <c r="E62" s="163">
        <f>SUM('TRANSFERENCIA CORRIENTE'!L63:N63)</f>
        <v>0</v>
      </c>
      <c r="F62" s="462"/>
      <c r="G62" s="163">
        <f>SUM(VS!C63:E63)</f>
        <v>0</v>
      </c>
      <c r="H62" s="163">
        <f>SUM(VS!F63:H63)</f>
        <v>0</v>
      </c>
      <c r="I62" s="163">
        <f>SUM(VS!I63:K63)</f>
        <v>0</v>
      </c>
      <c r="J62" s="164">
        <f>SUM(VS!L63:N63)</f>
        <v>0</v>
      </c>
      <c r="K62" s="462"/>
      <c r="L62" s="165">
        <f t="shared" si="23"/>
        <v>0</v>
      </c>
      <c r="M62" s="165">
        <f t="shared" si="20"/>
        <v>0</v>
      </c>
      <c r="N62" s="165">
        <f t="shared" si="20"/>
        <v>0</v>
      </c>
      <c r="O62" s="165">
        <f t="shared" si="20"/>
        <v>0</v>
      </c>
    </row>
    <row r="63" spans="1:15" x14ac:dyDescent="0.25">
      <c r="A63" s="146" t="s">
        <v>460</v>
      </c>
      <c r="B63" s="163">
        <f>SUM('TRANSFERENCIA CORRIENTE'!C64:E64)</f>
        <v>0</v>
      </c>
      <c r="C63" s="163">
        <f>SUM('TRANSFERENCIA CORRIENTE'!F64:H64)</f>
        <v>0</v>
      </c>
      <c r="D63" s="163">
        <f>SUM('TRANSFERENCIA CORRIENTE'!I64:K64)</f>
        <v>0</v>
      </c>
      <c r="E63" s="163">
        <f>SUM('TRANSFERENCIA CORRIENTE'!L64:N64)</f>
        <v>0</v>
      </c>
      <c r="F63" s="462"/>
      <c r="G63" s="163">
        <f>SUM(VS!C64:E64)</f>
        <v>0</v>
      </c>
      <c r="H63" s="163">
        <f>SUM(VS!F64:H64)</f>
        <v>0</v>
      </c>
      <c r="I63" s="163">
        <f>SUM(VS!I64:K64)</f>
        <v>0</v>
      </c>
      <c r="J63" s="164">
        <f>SUM(VS!L64:N64)</f>
        <v>0</v>
      </c>
      <c r="K63" s="462"/>
      <c r="L63" s="165">
        <f t="shared" si="23"/>
        <v>0</v>
      </c>
      <c r="M63" s="165">
        <f t="shared" si="20"/>
        <v>0</v>
      </c>
      <c r="N63" s="165">
        <f t="shared" si="20"/>
        <v>0</v>
      </c>
      <c r="O63" s="165">
        <f t="shared" si="20"/>
        <v>0</v>
      </c>
    </row>
    <row r="64" spans="1:15" ht="30" x14ac:dyDescent="0.25">
      <c r="A64" s="146" t="s">
        <v>459</v>
      </c>
      <c r="B64" s="163">
        <f>SUM('TRANSFERENCIA CORRIENTE'!C65:E65)</f>
        <v>0</v>
      </c>
      <c r="C64" s="163">
        <f>SUM('TRANSFERENCIA CORRIENTE'!F65:H65)</f>
        <v>0</v>
      </c>
      <c r="D64" s="163">
        <f>SUM('TRANSFERENCIA CORRIENTE'!I65:K65)</f>
        <v>0</v>
      </c>
      <c r="E64" s="163">
        <f>SUM('TRANSFERENCIA CORRIENTE'!L65:N65)</f>
        <v>0</v>
      </c>
      <c r="F64" s="462"/>
      <c r="G64" s="163">
        <f>SUM(VS!C65:E65)</f>
        <v>0</v>
      </c>
      <c r="H64" s="163">
        <f>SUM(VS!F65:H65)</f>
        <v>0</v>
      </c>
      <c r="I64" s="163">
        <f>SUM(VS!I65:K65)</f>
        <v>0</v>
      </c>
      <c r="J64" s="164">
        <f>SUM(VS!L65:N65)</f>
        <v>0</v>
      </c>
      <c r="K64" s="462"/>
      <c r="L64" s="165">
        <f t="shared" si="23"/>
        <v>0</v>
      </c>
      <c r="M64" s="165">
        <f t="shared" si="20"/>
        <v>0</v>
      </c>
      <c r="N64" s="165">
        <f t="shared" si="20"/>
        <v>0</v>
      </c>
      <c r="O64" s="165">
        <f t="shared" si="20"/>
        <v>0</v>
      </c>
    </row>
    <row r="65" spans="1:15" s="166" customFormat="1" x14ac:dyDescent="0.25">
      <c r="A65" s="152" t="s">
        <v>458</v>
      </c>
      <c r="B65" s="161">
        <f>SUM(B66:B67)</f>
        <v>0</v>
      </c>
      <c r="C65" s="161">
        <f t="shared" ref="C65:E65" si="24">SUM(C66:C67)</f>
        <v>0</v>
      </c>
      <c r="D65" s="161">
        <f t="shared" si="24"/>
        <v>0</v>
      </c>
      <c r="E65" s="161">
        <f t="shared" si="24"/>
        <v>0</v>
      </c>
      <c r="F65" s="462"/>
      <c r="G65" s="161">
        <f t="shared" ref="G65:J65" si="25">SUM(G66:G67)</f>
        <v>0</v>
      </c>
      <c r="H65" s="161">
        <f t="shared" si="25"/>
        <v>0</v>
      </c>
      <c r="I65" s="161">
        <f t="shared" si="25"/>
        <v>0</v>
      </c>
      <c r="J65" s="161">
        <f t="shared" si="25"/>
        <v>0</v>
      </c>
      <c r="K65" s="462"/>
      <c r="L65" s="167">
        <f>SUM(B65+G65)</f>
        <v>0</v>
      </c>
      <c r="M65" s="167">
        <f t="shared" si="20"/>
        <v>0</v>
      </c>
      <c r="N65" s="167">
        <f t="shared" si="20"/>
        <v>0</v>
      </c>
      <c r="O65" s="167">
        <f t="shared" si="20"/>
        <v>0</v>
      </c>
    </row>
    <row r="66" spans="1:15" x14ac:dyDescent="0.25">
      <c r="A66" s="146" t="s">
        <v>457</v>
      </c>
      <c r="B66" s="163">
        <f>SUM('TRANSFERENCIA CORRIENTE'!C67:E67)</f>
        <v>0</v>
      </c>
      <c r="C66" s="163">
        <f>SUM('TRANSFERENCIA CORRIENTE'!F67:H67)</f>
        <v>0</v>
      </c>
      <c r="D66" s="163">
        <f>SUM('TRANSFERENCIA CORRIENTE'!I67:K67)</f>
        <v>0</v>
      </c>
      <c r="E66" s="163">
        <f>SUM('TRANSFERENCIA CORRIENTE'!L67:N67)</f>
        <v>0</v>
      </c>
      <c r="F66" s="462"/>
      <c r="G66" s="163">
        <f>SUM(VS!C67:E67)</f>
        <v>0</v>
      </c>
      <c r="H66" s="163">
        <f>SUM(VS!F67:H67)</f>
        <v>0</v>
      </c>
      <c r="I66" s="163">
        <f>SUM(VS!I67:K67)</f>
        <v>0</v>
      </c>
      <c r="J66" s="164">
        <f>SUM(VS!L67:N67)</f>
        <v>0</v>
      </c>
      <c r="K66" s="462"/>
      <c r="L66" s="165">
        <f t="shared" ref="L66:L67" si="26">SUM(B66+G66)</f>
        <v>0</v>
      </c>
      <c r="M66" s="165">
        <f>SUM(C66+H66)</f>
        <v>0</v>
      </c>
      <c r="N66" s="165">
        <f t="shared" si="20"/>
        <v>0</v>
      </c>
      <c r="O66" s="165">
        <f t="shared" si="20"/>
        <v>0</v>
      </c>
    </row>
    <row r="67" spans="1:15" x14ac:dyDescent="0.25">
      <c r="A67" s="146" t="s">
        <v>456</v>
      </c>
      <c r="B67" s="163">
        <f>SUM('TRANSFERENCIA CORRIENTE'!C68:E68)</f>
        <v>0</v>
      </c>
      <c r="C67" s="163">
        <f>SUM('TRANSFERENCIA CORRIENTE'!F68:H68)</f>
        <v>0</v>
      </c>
      <c r="D67" s="163">
        <f>SUM('TRANSFERENCIA CORRIENTE'!I68:K68)</f>
        <v>0</v>
      </c>
      <c r="E67" s="163">
        <f>SUM('TRANSFERENCIA CORRIENTE'!L68:N68)</f>
        <v>0</v>
      </c>
      <c r="F67" s="462"/>
      <c r="G67" s="163">
        <f>SUM(VS!C68:E68)</f>
        <v>0</v>
      </c>
      <c r="H67" s="163">
        <f>SUM(VS!F68:H68)</f>
        <v>0</v>
      </c>
      <c r="I67" s="163">
        <f>SUM(VS!I68:K68)</f>
        <v>0</v>
      </c>
      <c r="J67" s="164">
        <f>SUM(VS!L68:N68)</f>
        <v>0</v>
      </c>
      <c r="K67" s="462"/>
      <c r="L67" s="165">
        <f t="shared" si="26"/>
        <v>0</v>
      </c>
      <c r="M67" s="165">
        <f>SUM(C67+H67)</f>
        <v>0</v>
      </c>
      <c r="N67" s="165">
        <f t="shared" ref="N67:O67" si="27">SUM(D67+I67)</f>
        <v>0</v>
      </c>
      <c r="O67" s="165">
        <f t="shared" si="27"/>
        <v>0</v>
      </c>
    </row>
    <row r="68" spans="1:15" s="166" customFormat="1" x14ac:dyDescent="0.25">
      <c r="A68" s="152" t="s">
        <v>455</v>
      </c>
      <c r="B68" s="161">
        <f>SUM(B69:B71)</f>
        <v>0</v>
      </c>
      <c r="C68" s="161">
        <f t="shared" ref="C68:E68" si="28">SUM(C69:C71)</f>
        <v>0</v>
      </c>
      <c r="D68" s="161">
        <f t="shared" si="28"/>
        <v>0</v>
      </c>
      <c r="E68" s="161">
        <f t="shared" si="28"/>
        <v>0</v>
      </c>
      <c r="F68" s="462"/>
      <c r="G68" s="161">
        <f t="shared" ref="G68:J68" si="29">SUM(G69:G71)</f>
        <v>0</v>
      </c>
      <c r="H68" s="161">
        <f t="shared" si="29"/>
        <v>0</v>
      </c>
      <c r="I68" s="161">
        <f t="shared" si="29"/>
        <v>0</v>
      </c>
      <c r="J68" s="161">
        <f t="shared" si="29"/>
        <v>0</v>
      </c>
      <c r="K68" s="462"/>
      <c r="L68" s="167">
        <f>SUM(B68+G68)</f>
        <v>0</v>
      </c>
      <c r="M68" s="167">
        <f t="shared" ref="M68:O82" si="30">SUM(C68+H68)</f>
        <v>0</v>
      </c>
      <c r="N68" s="167">
        <f t="shared" si="30"/>
        <v>0</v>
      </c>
      <c r="O68" s="167">
        <f t="shared" si="30"/>
        <v>0</v>
      </c>
    </row>
    <row r="69" spans="1:15" x14ac:dyDescent="0.25">
      <c r="A69" s="146" t="s">
        <v>454</v>
      </c>
      <c r="B69" s="163">
        <f>SUM('TRANSFERENCIA CORRIENTE'!C70:E70)</f>
        <v>0</v>
      </c>
      <c r="C69" s="163">
        <f>SUM('TRANSFERENCIA CORRIENTE'!F70:H70)</f>
        <v>0</v>
      </c>
      <c r="D69" s="163">
        <f>SUM('TRANSFERENCIA CORRIENTE'!I70:K70)</f>
        <v>0</v>
      </c>
      <c r="E69" s="163">
        <f>SUM('TRANSFERENCIA CORRIENTE'!L70:N70)</f>
        <v>0</v>
      </c>
      <c r="F69" s="462"/>
      <c r="G69" s="163">
        <f>SUM(VS!C70:E70)</f>
        <v>0</v>
      </c>
      <c r="H69" s="163">
        <f>SUM(VS!F70:H70)</f>
        <v>0</v>
      </c>
      <c r="I69" s="163">
        <f>SUM(VS!I70:K70)</f>
        <v>0</v>
      </c>
      <c r="J69" s="164">
        <f>SUM(VS!L70:N70)</f>
        <v>0</v>
      </c>
      <c r="K69" s="462"/>
      <c r="L69" s="165">
        <f t="shared" ref="L69:L71" si="31">SUM(B69+G69)</f>
        <v>0</v>
      </c>
      <c r="M69" s="165">
        <f t="shared" si="30"/>
        <v>0</v>
      </c>
      <c r="N69" s="165">
        <f t="shared" si="30"/>
        <v>0</v>
      </c>
      <c r="O69" s="165">
        <f t="shared" si="30"/>
        <v>0</v>
      </c>
    </row>
    <row r="70" spans="1:15" x14ac:dyDescent="0.25">
      <c r="A70" s="146" t="s">
        <v>453</v>
      </c>
      <c r="B70" s="163">
        <f>SUM('TRANSFERENCIA CORRIENTE'!C71:E71)</f>
        <v>0</v>
      </c>
      <c r="C70" s="163">
        <f>SUM('TRANSFERENCIA CORRIENTE'!F71:H71)</f>
        <v>0</v>
      </c>
      <c r="D70" s="163">
        <f>SUM('TRANSFERENCIA CORRIENTE'!I71:K71)</f>
        <v>0</v>
      </c>
      <c r="E70" s="163">
        <f>SUM('TRANSFERENCIA CORRIENTE'!L71:N71)</f>
        <v>0</v>
      </c>
      <c r="F70" s="462"/>
      <c r="G70" s="163">
        <f>SUM(VS!C71:E71)</f>
        <v>0</v>
      </c>
      <c r="H70" s="163">
        <f>SUM(VS!F71:H71)</f>
        <v>0</v>
      </c>
      <c r="I70" s="163">
        <f>SUM(VS!I71:K71)</f>
        <v>0</v>
      </c>
      <c r="J70" s="164">
        <f>SUM(VS!L71:N71)</f>
        <v>0</v>
      </c>
      <c r="K70" s="462"/>
      <c r="L70" s="165">
        <f t="shared" si="31"/>
        <v>0</v>
      </c>
      <c r="M70" s="165">
        <f t="shared" si="30"/>
        <v>0</v>
      </c>
      <c r="N70" s="165">
        <f t="shared" si="30"/>
        <v>0</v>
      </c>
      <c r="O70" s="165">
        <f t="shared" si="30"/>
        <v>0</v>
      </c>
    </row>
    <row r="71" spans="1:15" x14ac:dyDescent="0.25">
      <c r="A71" s="146" t="s">
        <v>452</v>
      </c>
      <c r="B71" s="163">
        <f>SUM('TRANSFERENCIA CORRIENTE'!C72:E72)</f>
        <v>0</v>
      </c>
      <c r="C71" s="163">
        <f>SUM('TRANSFERENCIA CORRIENTE'!F72:H72)</f>
        <v>0</v>
      </c>
      <c r="D71" s="163">
        <f>SUM('TRANSFERENCIA CORRIENTE'!I72:K72)</f>
        <v>0</v>
      </c>
      <c r="E71" s="163">
        <f>SUM('TRANSFERENCIA CORRIENTE'!L72:N72)</f>
        <v>0</v>
      </c>
      <c r="F71" s="462"/>
      <c r="G71" s="163"/>
      <c r="H71" s="163">
        <f>SUM(VS!F72:H72)</f>
        <v>0</v>
      </c>
      <c r="I71" s="163">
        <f>SUM(VS!I72:K72)</f>
        <v>0</v>
      </c>
      <c r="J71" s="164">
        <f>SUM(VS!L72:N72)</f>
        <v>0</v>
      </c>
      <c r="K71" s="462"/>
      <c r="L71" s="165">
        <f t="shared" si="31"/>
        <v>0</v>
      </c>
      <c r="M71" s="165">
        <f t="shared" si="30"/>
        <v>0</v>
      </c>
      <c r="N71" s="165">
        <f t="shared" si="30"/>
        <v>0</v>
      </c>
      <c r="O71" s="165">
        <f t="shared" si="30"/>
        <v>0</v>
      </c>
    </row>
    <row r="72" spans="1:15" s="166" customFormat="1" x14ac:dyDescent="0.25">
      <c r="A72" s="152" t="s">
        <v>451</v>
      </c>
      <c r="B72" s="161">
        <f>+B8+B14+B24+B34+B42+B50+B60+B65+B68</f>
        <v>271880250.56999999</v>
      </c>
      <c r="C72" s="161">
        <f t="shared" ref="C72:E72" si="32">+C8+C14+C24+C34+C42+C50+C60+C65+C68</f>
        <v>183300901.13</v>
      </c>
      <c r="D72" s="161">
        <f t="shared" si="32"/>
        <v>0</v>
      </c>
      <c r="E72" s="161">
        <f t="shared" si="32"/>
        <v>0</v>
      </c>
      <c r="F72" s="462"/>
      <c r="G72" s="161">
        <f>+G8+G14+G24+G34+G42+G50+G60+G65+G68</f>
        <v>26194615.629999999</v>
      </c>
      <c r="H72" s="161">
        <f t="shared" ref="H72:J72" si="33">+H8+H14+H24+H34+H42+H50+H60+H65+H68</f>
        <v>13886364.68</v>
      </c>
      <c r="I72" s="161">
        <f t="shared" si="33"/>
        <v>0</v>
      </c>
      <c r="J72" s="161">
        <f t="shared" si="33"/>
        <v>0</v>
      </c>
      <c r="K72" s="462"/>
      <c r="L72" s="167">
        <f>SUM(B72+G72)</f>
        <v>298074866.19999999</v>
      </c>
      <c r="M72" s="167">
        <f t="shared" si="30"/>
        <v>197187265.81</v>
      </c>
      <c r="N72" s="167">
        <f t="shared" si="30"/>
        <v>0</v>
      </c>
      <c r="O72" s="167">
        <f t="shared" si="30"/>
        <v>0</v>
      </c>
    </row>
    <row r="73" spans="1:15" x14ac:dyDescent="0.25">
      <c r="A73" s="148" t="s">
        <v>450</v>
      </c>
      <c r="B73" s="163">
        <f>SUM('TRANSFERENCIA CORRIENTE'!C74:E74)</f>
        <v>0</v>
      </c>
      <c r="C73" s="163">
        <f>SUM('TRANSFERENCIA CORRIENTE'!F74:H74)</f>
        <v>0</v>
      </c>
      <c r="D73" s="163">
        <f>SUM('TRANSFERENCIA CORRIENTE'!I74:K74)</f>
        <v>0</v>
      </c>
      <c r="E73" s="163">
        <f>SUM('TRANSFERENCIA CORRIENTE'!L74:N74)</f>
        <v>0</v>
      </c>
      <c r="F73" s="462"/>
      <c r="G73" s="163">
        <f>SUM(VS!C74:E74)</f>
        <v>0</v>
      </c>
      <c r="H73" s="163">
        <f>SUM(VS!F74:H74)</f>
        <v>0</v>
      </c>
      <c r="I73" s="163">
        <f>SUM(VS!I74:K74)</f>
        <v>0</v>
      </c>
      <c r="J73" s="164">
        <f>SUM(VS!L74:N74)</f>
        <v>0</v>
      </c>
      <c r="K73" s="462"/>
      <c r="L73" s="165">
        <f t="shared" ref="L73:L81" si="34">SUM(B73+G73)</f>
        <v>0</v>
      </c>
      <c r="M73" s="165">
        <f t="shared" si="30"/>
        <v>0</v>
      </c>
      <c r="N73" s="165">
        <f t="shared" si="30"/>
        <v>0</v>
      </c>
      <c r="O73" s="165">
        <f t="shared" si="30"/>
        <v>0</v>
      </c>
    </row>
    <row r="74" spans="1:15" x14ac:dyDescent="0.25">
      <c r="A74" s="148" t="s">
        <v>449</v>
      </c>
      <c r="B74" s="163">
        <f>SUM('TRANSFERENCIA CORRIENTE'!C75:E75)</f>
        <v>0</v>
      </c>
      <c r="C74" s="163">
        <f>SUM('TRANSFERENCIA CORRIENTE'!F75:H75)</f>
        <v>0</v>
      </c>
      <c r="D74" s="163">
        <f>SUM('TRANSFERENCIA CORRIENTE'!I75:K75)</f>
        <v>0</v>
      </c>
      <c r="E74" s="163">
        <f>SUM('TRANSFERENCIA CORRIENTE'!L75:N75)</f>
        <v>0</v>
      </c>
      <c r="F74" s="462"/>
      <c r="G74" s="163">
        <f>SUM(VS!C75:E75)</f>
        <v>0</v>
      </c>
      <c r="H74" s="163">
        <f>SUM(VS!F75:H75)</f>
        <v>0</v>
      </c>
      <c r="I74" s="163">
        <f>SUM(VS!I75:K75)</f>
        <v>0</v>
      </c>
      <c r="J74" s="164">
        <f>SUM(VS!L75:N75)</f>
        <v>0</v>
      </c>
      <c r="K74" s="462"/>
      <c r="L74" s="165">
        <f t="shared" si="34"/>
        <v>0</v>
      </c>
      <c r="M74" s="165">
        <f t="shared" si="30"/>
        <v>0</v>
      </c>
      <c r="N74" s="165">
        <f t="shared" si="30"/>
        <v>0</v>
      </c>
      <c r="O74" s="165">
        <f t="shared" si="30"/>
        <v>0</v>
      </c>
    </row>
    <row r="75" spans="1:15" x14ac:dyDescent="0.25">
      <c r="A75" s="146" t="s">
        <v>448</v>
      </c>
      <c r="B75" s="163">
        <f>SUM('TRANSFERENCIA CORRIENTE'!C76:E76)</f>
        <v>0</v>
      </c>
      <c r="C75" s="163">
        <f>SUM('TRANSFERENCIA CORRIENTE'!F76:H76)</f>
        <v>0</v>
      </c>
      <c r="D75" s="163">
        <f>SUM('TRANSFERENCIA CORRIENTE'!I76:K76)</f>
        <v>0</v>
      </c>
      <c r="E75" s="163">
        <f>SUM('TRANSFERENCIA CORRIENTE'!L76:N76)</f>
        <v>0</v>
      </c>
      <c r="F75" s="462"/>
      <c r="G75" s="163">
        <f>SUM(VS!C76:E76)</f>
        <v>0</v>
      </c>
      <c r="H75" s="163">
        <f>SUM(VS!F76:H76)</f>
        <v>0</v>
      </c>
      <c r="I75" s="163">
        <f>SUM(VS!I76:K76)</f>
        <v>0</v>
      </c>
      <c r="J75" s="164">
        <f>SUM(VS!L76:N76)</f>
        <v>0</v>
      </c>
      <c r="K75" s="462"/>
      <c r="L75" s="165">
        <f t="shared" si="34"/>
        <v>0</v>
      </c>
      <c r="M75" s="165">
        <f t="shared" si="30"/>
        <v>0</v>
      </c>
      <c r="N75" s="165">
        <f t="shared" si="30"/>
        <v>0</v>
      </c>
      <c r="O75" s="165">
        <f t="shared" si="30"/>
        <v>0</v>
      </c>
    </row>
    <row r="76" spans="1:15" x14ac:dyDescent="0.25">
      <c r="A76" s="146" t="s">
        <v>447</v>
      </c>
      <c r="B76" s="163">
        <f>SUM('TRANSFERENCIA CORRIENTE'!C77:E77)</f>
        <v>0</v>
      </c>
      <c r="C76" s="163">
        <f>SUM('TRANSFERENCIA CORRIENTE'!F77:H77)</f>
        <v>0</v>
      </c>
      <c r="D76" s="163">
        <f>SUM('TRANSFERENCIA CORRIENTE'!I77:K77)</f>
        <v>0</v>
      </c>
      <c r="E76" s="163">
        <f>SUM('TRANSFERENCIA CORRIENTE'!L77:N77)</f>
        <v>0</v>
      </c>
      <c r="F76" s="462"/>
      <c r="G76" s="163">
        <f>SUM(VS!C77:E77)</f>
        <v>0</v>
      </c>
      <c r="H76" s="163">
        <f>SUM(VS!F77:H77)</f>
        <v>0</v>
      </c>
      <c r="I76" s="163">
        <f>SUM(VS!I77:K77)</f>
        <v>0</v>
      </c>
      <c r="J76" s="164">
        <f>SUM(VS!L77:N77)</f>
        <v>0</v>
      </c>
      <c r="K76" s="462"/>
      <c r="L76" s="165">
        <f t="shared" si="34"/>
        <v>0</v>
      </c>
      <c r="M76" s="165">
        <f t="shared" si="30"/>
        <v>0</v>
      </c>
      <c r="N76" s="165">
        <f t="shared" si="30"/>
        <v>0</v>
      </c>
      <c r="O76" s="165">
        <f t="shared" si="30"/>
        <v>0</v>
      </c>
    </row>
    <row r="77" spans="1:15" x14ac:dyDescent="0.25">
      <c r="A77" s="148" t="s">
        <v>446</v>
      </c>
      <c r="B77" s="163">
        <f>SUM('TRANSFERENCIA CORRIENTE'!C78:E78)</f>
        <v>0</v>
      </c>
      <c r="C77" s="163">
        <f>SUM('TRANSFERENCIA CORRIENTE'!F78:H78)</f>
        <v>0</v>
      </c>
      <c r="D77" s="163">
        <f>SUM('TRANSFERENCIA CORRIENTE'!I78:K78)</f>
        <v>0</v>
      </c>
      <c r="E77" s="163">
        <f>SUM('TRANSFERENCIA CORRIENTE'!L78:N78)</f>
        <v>0</v>
      </c>
      <c r="F77" s="462"/>
      <c r="G77" s="163">
        <f>SUM(VS!C78:E78)</f>
        <v>0</v>
      </c>
      <c r="H77" s="163">
        <f>SUM(VS!F78:H78)</f>
        <v>0</v>
      </c>
      <c r="I77" s="163">
        <f>SUM(VS!I78:K78)</f>
        <v>0</v>
      </c>
      <c r="J77" s="164">
        <f>SUM(VS!L78:N78)</f>
        <v>0</v>
      </c>
      <c r="K77" s="462"/>
      <c r="L77" s="165">
        <f t="shared" si="34"/>
        <v>0</v>
      </c>
      <c r="M77" s="165">
        <f t="shared" si="30"/>
        <v>0</v>
      </c>
      <c r="N77" s="165">
        <f t="shared" si="30"/>
        <v>0</v>
      </c>
      <c r="O77" s="165">
        <f t="shared" si="30"/>
        <v>0</v>
      </c>
    </row>
    <row r="78" spans="1:15" x14ac:dyDescent="0.25">
      <c r="A78" s="146" t="s">
        <v>445</v>
      </c>
      <c r="B78" s="163">
        <f>SUM('TRANSFERENCIA CORRIENTE'!C79:E79)</f>
        <v>0</v>
      </c>
      <c r="C78" s="163">
        <f>SUM('TRANSFERENCIA CORRIENTE'!F79:H79)</f>
        <v>0</v>
      </c>
      <c r="D78" s="163">
        <f>SUM('TRANSFERENCIA CORRIENTE'!I79:K79)</f>
        <v>0</v>
      </c>
      <c r="E78" s="163">
        <f>SUM('TRANSFERENCIA CORRIENTE'!L79:N79)</f>
        <v>0</v>
      </c>
      <c r="F78" s="462"/>
      <c r="G78" s="163">
        <f>SUM(VS!C79:E79)</f>
        <v>0</v>
      </c>
      <c r="H78" s="163">
        <f>SUM(VS!F79:H79)</f>
        <v>0</v>
      </c>
      <c r="I78" s="163">
        <f>SUM(VS!I79:K79)</f>
        <v>0</v>
      </c>
      <c r="J78" s="164">
        <f>SUM(VS!L79:N79)</f>
        <v>0</v>
      </c>
      <c r="K78" s="462"/>
      <c r="L78" s="165">
        <f t="shared" si="34"/>
        <v>0</v>
      </c>
      <c r="M78" s="165">
        <f t="shared" si="30"/>
        <v>0</v>
      </c>
      <c r="N78" s="165">
        <f t="shared" si="30"/>
        <v>0</v>
      </c>
      <c r="O78" s="165">
        <f t="shared" si="30"/>
        <v>0</v>
      </c>
    </row>
    <row r="79" spans="1:15" x14ac:dyDescent="0.25">
      <c r="A79" s="146" t="s">
        <v>444</v>
      </c>
      <c r="B79" s="163">
        <f>SUM('TRANSFERENCIA CORRIENTE'!C80:E80)</f>
        <v>0</v>
      </c>
      <c r="C79" s="163">
        <f>SUM('TRANSFERENCIA CORRIENTE'!F80:H80)</f>
        <v>0</v>
      </c>
      <c r="D79" s="163">
        <f>SUM('TRANSFERENCIA CORRIENTE'!I80:K80)</f>
        <v>0</v>
      </c>
      <c r="E79" s="163">
        <f>SUM('TRANSFERENCIA CORRIENTE'!L80:N80)</f>
        <v>0</v>
      </c>
      <c r="F79" s="462"/>
      <c r="G79" s="163">
        <f>SUM(VS!C80:E80)</f>
        <v>0</v>
      </c>
      <c r="H79" s="163">
        <f>SUM(VS!F80:H80)</f>
        <v>0</v>
      </c>
      <c r="I79" s="163">
        <f>SUM(VS!I80:K80)</f>
        <v>0</v>
      </c>
      <c r="J79" s="164">
        <f>SUM(VS!L80:N80)</f>
        <v>0</v>
      </c>
      <c r="K79" s="462"/>
      <c r="L79" s="165">
        <f t="shared" si="34"/>
        <v>0</v>
      </c>
      <c r="M79" s="165">
        <f t="shared" si="30"/>
        <v>0</v>
      </c>
      <c r="N79" s="165">
        <f t="shared" si="30"/>
        <v>0</v>
      </c>
      <c r="O79" s="165">
        <f t="shared" si="30"/>
        <v>0</v>
      </c>
    </row>
    <row r="80" spans="1:15" x14ac:dyDescent="0.25">
      <c r="A80" s="148" t="s">
        <v>443</v>
      </c>
      <c r="B80" s="163">
        <f>SUM('TRANSFERENCIA CORRIENTE'!C81:E81)</f>
        <v>0</v>
      </c>
      <c r="C80" s="163">
        <f>SUM('TRANSFERENCIA CORRIENTE'!F81:H81)</f>
        <v>0</v>
      </c>
      <c r="D80" s="163">
        <f>SUM('TRANSFERENCIA CORRIENTE'!I81:K81)</f>
        <v>0</v>
      </c>
      <c r="E80" s="163">
        <f>SUM('TRANSFERENCIA CORRIENTE'!L81:N81)</f>
        <v>0</v>
      </c>
      <c r="F80" s="462"/>
      <c r="G80" s="163">
        <f>SUM(VS!C81:E81)</f>
        <v>0</v>
      </c>
      <c r="H80" s="163">
        <f>SUM(VS!F81:H81)</f>
        <v>0</v>
      </c>
      <c r="I80" s="163">
        <f>SUM(VS!I81:K81)</f>
        <v>0</v>
      </c>
      <c r="J80" s="164">
        <f>SUM(VS!L81:N81)</f>
        <v>0</v>
      </c>
      <c r="K80" s="462"/>
      <c r="L80" s="165">
        <f t="shared" si="34"/>
        <v>0</v>
      </c>
      <c r="M80" s="165">
        <f t="shared" si="30"/>
        <v>0</v>
      </c>
      <c r="N80" s="165">
        <f t="shared" si="30"/>
        <v>0</v>
      </c>
      <c r="O80" s="165">
        <f t="shared" si="30"/>
        <v>0</v>
      </c>
    </row>
    <row r="81" spans="1:15" x14ac:dyDescent="0.25">
      <c r="A81" s="146" t="s">
        <v>442</v>
      </c>
      <c r="B81" s="163">
        <f>SUM('TRANSFERENCIA CORRIENTE'!C82:E82)</f>
        <v>0</v>
      </c>
      <c r="C81" s="163">
        <f>SUM('TRANSFERENCIA CORRIENTE'!F82:H82)</f>
        <v>0</v>
      </c>
      <c r="D81" s="163">
        <f>SUM('TRANSFERENCIA CORRIENTE'!I82:K82)</f>
        <v>0</v>
      </c>
      <c r="E81" s="163">
        <f>SUM('TRANSFERENCIA CORRIENTE'!L82:N82)</f>
        <v>0</v>
      </c>
      <c r="F81" s="462"/>
      <c r="G81" s="163">
        <f>SUM(VS!C82:E82)</f>
        <v>0</v>
      </c>
      <c r="H81" s="163">
        <f>SUM(VS!F82:H82)</f>
        <v>0</v>
      </c>
      <c r="I81" s="163">
        <f>SUM(VS!I82:K82)</f>
        <v>0</v>
      </c>
      <c r="J81" s="164">
        <f>SUM(VS!L82:N82)</f>
        <v>0</v>
      </c>
      <c r="K81" s="462"/>
      <c r="L81" s="165">
        <f t="shared" si="34"/>
        <v>0</v>
      </c>
      <c r="M81" s="165">
        <f t="shared" si="30"/>
        <v>0</v>
      </c>
      <c r="N81" s="165">
        <f t="shared" si="30"/>
        <v>0</v>
      </c>
      <c r="O81" s="165">
        <f t="shared" si="30"/>
        <v>0</v>
      </c>
    </row>
    <row r="82" spans="1:15" s="166" customFormat="1" x14ac:dyDescent="0.25">
      <c r="A82" s="152" t="s">
        <v>441</v>
      </c>
      <c r="B82" s="161">
        <f>SUM(B83)</f>
        <v>271880250.56999999</v>
      </c>
      <c r="C82" s="161">
        <f t="shared" ref="C82:E82" si="35">SUM(C83)</f>
        <v>183300901.13</v>
      </c>
      <c r="D82" s="161">
        <f t="shared" si="35"/>
        <v>0</v>
      </c>
      <c r="E82" s="161">
        <f t="shared" si="35"/>
        <v>0</v>
      </c>
      <c r="F82" s="462"/>
      <c r="G82" s="161">
        <f>SUM(G83)</f>
        <v>26194615.629999999</v>
      </c>
      <c r="H82" s="161">
        <f t="shared" ref="H82:J82" si="36">SUM(H83)</f>
        <v>13886364.68</v>
      </c>
      <c r="I82" s="161">
        <f t="shared" si="36"/>
        <v>0</v>
      </c>
      <c r="J82" s="161">
        <f t="shared" si="36"/>
        <v>0</v>
      </c>
      <c r="K82" s="462"/>
      <c r="L82" s="167">
        <f>SUM(B82+G82)</f>
        <v>298074866.19999999</v>
      </c>
      <c r="M82" s="167">
        <f t="shared" si="30"/>
        <v>197187265.81</v>
      </c>
      <c r="N82" s="167">
        <f t="shared" si="30"/>
        <v>0</v>
      </c>
      <c r="O82" s="167">
        <f t="shared" si="30"/>
        <v>0</v>
      </c>
    </row>
    <row r="83" spans="1:15" ht="15.75" x14ac:dyDescent="0.25">
      <c r="A83" s="168" t="s">
        <v>440</v>
      </c>
      <c r="B83" s="163">
        <f>SUM('TRANSFERENCIA CORRIENTE'!C85:E85)</f>
        <v>271880250.56999999</v>
      </c>
      <c r="C83" s="163">
        <f>SUM('TRANSFERENCIA CORRIENTE'!F85:H85)</f>
        <v>183300901.13</v>
      </c>
      <c r="D83" s="163">
        <f>SUM('TRANSFERENCIA CORRIENTE'!I85:K85)</f>
        <v>0</v>
      </c>
      <c r="E83" s="163">
        <f>SUM('TRANSFERENCIA CORRIENTE'!L85:N85)</f>
        <v>0</v>
      </c>
      <c r="F83" s="463"/>
      <c r="G83" s="163">
        <f>SUM(VS!C85:E85)</f>
        <v>26194615.629999999</v>
      </c>
      <c r="H83" s="163">
        <f>SUM(VS!F85:H85)</f>
        <v>13886364.68</v>
      </c>
      <c r="I83" s="163">
        <f>SUM(VS!I85:K85)</f>
        <v>0</v>
      </c>
      <c r="J83" s="163">
        <f>SUM(VS!L85:N85)</f>
        <v>0</v>
      </c>
      <c r="K83" s="463"/>
      <c r="L83" s="165">
        <f>SUM(B83+G83)</f>
        <v>298074866.19999999</v>
      </c>
      <c r="M83" s="165">
        <f>SUM(C83+H83)</f>
        <v>197187265.81</v>
      </c>
      <c r="N83" s="165">
        <f>SUM(D83+I83)</f>
        <v>0</v>
      </c>
      <c r="O83" s="165">
        <f>SUM(E83+J83)</f>
        <v>0</v>
      </c>
    </row>
  </sheetData>
  <mergeCells count="9">
    <mergeCell ref="A1:O1"/>
    <mergeCell ref="A2:O2"/>
    <mergeCell ref="A3:O3"/>
    <mergeCell ref="A4:O4"/>
    <mergeCell ref="B6:E6"/>
    <mergeCell ref="F6:F83"/>
    <mergeCell ref="G6:J6"/>
    <mergeCell ref="K6:K83"/>
    <mergeCell ref="L6:O6"/>
  </mergeCells>
  <pageMargins left="0.7" right="0.7" top="0.75" bottom="0.75" header="0.3" footer="0.3"/>
  <pageSetup scale="3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view="pageBreakPreview" zoomScale="96" zoomScaleNormal="90" zoomScaleSheetLayoutView="96" workbookViewId="0">
      <selection activeCell="G61" sqref="G61"/>
    </sheetView>
  </sheetViews>
  <sheetFormatPr baseColWidth="10" defaultColWidth="9.140625" defaultRowHeight="15" x14ac:dyDescent="0.25"/>
  <cols>
    <col min="1" max="1" width="40" customWidth="1"/>
    <col min="2" max="2" width="21.5703125" bestFit="1" customWidth="1"/>
    <col min="3" max="3" width="19" bestFit="1" customWidth="1"/>
    <col min="4" max="4" width="20.140625" bestFit="1" customWidth="1"/>
    <col min="5" max="5" width="15.140625" bestFit="1" customWidth="1"/>
    <col min="6" max="7" width="14.140625" bestFit="1" customWidth="1"/>
    <col min="8" max="10" width="11.5703125" bestFit="1" customWidth="1"/>
    <col min="11" max="11" width="12.42578125" bestFit="1" customWidth="1"/>
    <col min="12" max="12" width="11.5703125" bestFit="1" customWidth="1"/>
    <col min="13" max="13" width="11.85546875" customWidth="1"/>
    <col min="14" max="14" width="12.7109375" bestFit="1" customWidth="1"/>
  </cols>
  <sheetData>
    <row r="1" spans="1:14" ht="18.75" x14ac:dyDescent="0.25">
      <c r="A1" s="457" t="s">
        <v>77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</row>
    <row r="2" spans="1:14" ht="18.75" x14ac:dyDescent="0.25">
      <c r="A2" s="457" t="s">
        <v>665</v>
      </c>
      <c r="B2" s="457"/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</row>
    <row r="3" spans="1:14" ht="18.75" x14ac:dyDescent="0.25">
      <c r="A3" s="457" t="s">
        <v>532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7"/>
      <c r="M3" s="457"/>
      <c r="N3" s="457"/>
    </row>
    <row r="4" spans="1:14" ht="15.75" x14ac:dyDescent="0.25">
      <c r="A4" s="458" t="s">
        <v>644</v>
      </c>
      <c r="B4" s="458"/>
      <c r="C4" s="458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</row>
    <row r="5" spans="1:14" x14ac:dyDescent="0.25">
      <c r="A5" s="401" t="s">
        <v>531</v>
      </c>
      <c r="B5" s="401"/>
      <c r="C5" s="401"/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</row>
    <row r="7" spans="1:14" ht="15.75" x14ac:dyDescent="0.25">
      <c r="A7" s="155" t="s">
        <v>530</v>
      </c>
      <c r="B7" s="154" t="s">
        <v>529</v>
      </c>
      <c r="C7" s="154" t="s">
        <v>528</v>
      </c>
      <c r="D7" s="154" t="s">
        <v>527</v>
      </c>
      <c r="E7" s="154" t="s">
        <v>526</v>
      </c>
      <c r="F7" s="154" t="s">
        <v>525</v>
      </c>
      <c r="G7" s="154" t="s">
        <v>524</v>
      </c>
      <c r="H7" s="154" t="s">
        <v>523</v>
      </c>
      <c r="I7" s="154" t="s">
        <v>522</v>
      </c>
      <c r="J7" s="154" t="s">
        <v>521</v>
      </c>
      <c r="K7" s="154" t="s">
        <v>520</v>
      </c>
      <c r="L7" s="154" t="s">
        <v>519</v>
      </c>
      <c r="M7" s="154" t="s">
        <v>518</v>
      </c>
      <c r="N7" s="154" t="s">
        <v>517</v>
      </c>
    </row>
    <row r="8" spans="1:14" x14ac:dyDescent="0.25">
      <c r="A8" s="148" t="s">
        <v>516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</row>
    <row r="9" spans="1:14" ht="30" x14ac:dyDescent="0.25">
      <c r="A9" s="152" t="s">
        <v>515</v>
      </c>
      <c r="B9" s="309">
        <f t="shared" ref="B9:B40" si="0">SUM(C9:N9)</f>
        <v>331747442.21000004</v>
      </c>
      <c r="C9" s="150">
        <f t="shared" ref="C9:N9" si="1">SUM(C10:C14)</f>
        <v>65091179.920000002</v>
      </c>
      <c r="D9" s="150">
        <f t="shared" si="1"/>
        <v>67131935.939999998</v>
      </c>
      <c r="E9" s="150">
        <f t="shared" si="1"/>
        <v>66337619.82</v>
      </c>
      <c r="F9" s="150">
        <f t="shared" si="1"/>
        <v>66556155.68</v>
      </c>
      <c r="G9" s="150">
        <f t="shared" si="1"/>
        <v>66630550.850000001</v>
      </c>
      <c r="H9" s="150">
        <f t="shared" si="1"/>
        <v>0</v>
      </c>
      <c r="I9" s="150">
        <f t="shared" si="1"/>
        <v>0</v>
      </c>
      <c r="J9" s="150">
        <f t="shared" si="1"/>
        <v>0</v>
      </c>
      <c r="K9" s="150">
        <f t="shared" si="1"/>
        <v>0</v>
      </c>
      <c r="L9" s="150">
        <f t="shared" si="1"/>
        <v>0</v>
      </c>
      <c r="M9" s="150">
        <f t="shared" si="1"/>
        <v>0</v>
      </c>
      <c r="N9" s="150">
        <f t="shared" si="1"/>
        <v>0</v>
      </c>
    </row>
    <row r="10" spans="1:14" x14ac:dyDescent="0.25">
      <c r="A10" s="146" t="s">
        <v>514</v>
      </c>
      <c r="B10" s="149">
        <f t="shared" si="0"/>
        <v>273161442.33999997</v>
      </c>
      <c r="C10" s="145">
        <v>53640338.710000001</v>
      </c>
      <c r="D10" s="145">
        <v>55586128.810000002</v>
      </c>
      <c r="E10" s="145">
        <v>54718737.07</v>
      </c>
      <c r="F10" s="145">
        <v>54771097.32</v>
      </c>
      <c r="G10" s="145">
        <v>54445140.43</v>
      </c>
      <c r="H10" s="145"/>
      <c r="I10" s="145"/>
      <c r="J10" s="145"/>
      <c r="K10" s="145"/>
      <c r="L10" s="145"/>
      <c r="M10" s="145"/>
      <c r="N10" s="145"/>
    </row>
    <row r="11" spans="1:14" x14ac:dyDescent="0.25">
      <c r="A11" s="146" t="s">
        <v>513</v>
      </c>
      <c r="B11" s="149">
        <f t="shared" si="0"/>
        <v>16786971.59</v>
      </c>
      <c r="C11" s="145">
        <v>3196999.6</v>
      </c>
      <c r="D11" s="145">
        <v>3197999.6</v>
      </c>
      <c r="E11" s="145">
        <v>3199399.6</v>
      </c>
      <c r="F11" s="145">
        <v>3384964.48</v>
      </c>
      <c r="G11" s="145">
        <v>3807608.31</v>
      </c>
      <c r="H11" s="145"/>
      <c r="I11" s="145"/>
      <c r="J11" s="145"/>
      <c r="K11" s="145"/>
      <c r="L11" s="145"/>
      <c r="M11" s="145"/>
      <c r="N11" s="145"/>
    </row>
    <row r="12" spans="1:14" ht="30" x14ac:dyDescent="0.25">
      <c r="A12" s="146" t="s">
        <v>512</v>
      </c>
      <c r="B12" s="149">
        <f t="shared" si="0"/>
        <v>0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spans="1:14" ht="30" x14ac:dyDescent="0.25">
      <c r="A13" s="146" t="s">
        <v>511</v>
      </c>
      <c r="B13" s="149">
        <f t="shared" si="0"/>
        <v>0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spans="1:14" ht="30" x14ac:dyDescent="0.25">
      <c r="A14" s="146" t="s">
        <v>510</v>
      </c>
      <c r="B14" s="149">
        <f t="shared" si="0"/>
        <v>41799028.280000001</v>
      </c>
      <c r="C14" s="145">
        <v>8253841.6100000003</v>
      </c>
      <c r="D14" s="145">
        <v>8347807.5300000003</v>
      </c>
      <c r="E14" s="145">
        <v>8419483.1500000004</v>
      </c>
      <c r="F14" s="145">
        <v>8400093.8800000008</v>
      </c>
      <c r="G14" s="145">
        <v>8377802.1100000003</v>
      </c>
      <c r="H14" s="145"/>
      <c r="I14" s="145"/>
      <c r="J14" s="145"/>
      <c r="K14" s="145"/>
      <c r="L14" s="145"/>
      <c r="M14" s="145"/>
      <c r="N14" s="145"/>
    </row>
    <row r="15" spans="1:14" x14ac:dyDescent="0.25">
      <c r="A15" s="152" t="s">
        <v>509</v>
      </c>
      <c r="B15" s="151">
        <f t="shared" si="0"/>
        <v>11199724.700000001</v>
      </c>
      <c r="C15" s="150">
        <f t="shared" ref="C15:N15" si="2">SUM(C16:C24)</f>
        <v>0</v>
      </c>
      <c r="D15" s="150">
        <f t="shared" si="2"/>
        <v>1336968.6400000001</v>
      </c>
      <c r="E15" s="150">
        <f t="shared" si="2"/>
        <v>7971396.2400000002</v>
      </c>
      <c r="F15" s="150">
        <f t="shared" si="2"/>
        <v>210535</v>
      </c>
      <c r="G15" s="150">
        <f t="shared" si="2"/>
        <v>1680824.82</v>
      </c>
      <c r="H15" s="150">
        <f t="shared" si="2"/>
        <v>0</v>
      </c>
      <c r="I15" s="150">
        <f t="shared" si="2"/>
        <v>0</v>
      </c>
      <c r="J15" s="150">
        <f t="shared" si="2"/>
        <v>0</v>
      </c>
      <c r="K15" s="150">
        <f t="shared" si="2"/>
        <v>0</v>
      </c>
      <c r="L15" s="150">
        <f t="shared" si="2"/>
        <v>0</v>
      </c>
      <c r="M15" s="150">
        <f t="shared" si="2"/>
        <v>0</v>
      </c>
      <c r="N15" s="150">
        <f t="shared" si="2"/>
        <v>0</v>
      </c>
    </row>
    <row r="16" spans="1:14" x14ac:dyDescent="0.25">
      <c r="A16" s="146" t="s">
        <v>508</v>
      </c>
      <c r="B16" s="149">
        <f t="shared" si="0"/>
        <v>2141094.2999999998</v>
      </c>
      <c r="C16" s="145"/>
      <c r="D16" s="145"/>
      <c r="E16" s="145">
        <v>2020024.3</v>
      </c>
      <c r="F16" s="145">
        <v>60535</v>
      </c>
      <c r="G16" s="145">
        <v>60535</v>
      </c>
      <c r="H16" s="145"/>
      <c r="I16" s="145"/>
      <c r="J16" s="145"/>
      <c r="K16" s="145"/>
      <c r="L16" s="145"/>
      <c r="M16" s="145"/>
      <c r="N16" s="145"/>
    </row>
    <row r="17" spans="1:14" ht="30" x14ac:dyDescent="0.25">
      <c r="A17" s="146" t="s">
        <v>507</v>
      </c>
      <c r="B17" s="149">
        <f t="shared" si="0"/>
        <v>357096.67000000004</v>
      </c>
      <c r="C17" s="145"/>
      <c r="D17" s="145">
        <v>324206.83</v>
      </c>
      <c r="E17" s="145"/>
      <c r="F17" s="145"/>
      <c r="G17" s="145">
        <v>32889.839999999997</v>
      </c>
      <c r="H17" s="145"/>
      <c r="I17" s="145"/>
      <c r="J17" s="145"/>
      <c r="K17" s="145"/>
      <c r="L17" s="145"/>
      <c r="M17" s="145"/>
      <c r="N17" s="145"/>
    </row>
    <row r="18" spans="1:14" x14ac:dyDescent="0.25">
      <c r="A18" s="146" t="s">
        <v>506</v>
      </c>
      <c r="B18" s="149">
        <f t="shared" si="0"/>
        <v>0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</row>
    <row r="19" spans="1:14" x14ac:dyDescent="0.25">
      <c r="A19" s="146" t="s">
        <v>505</v>
      </c>
      <c r="B19" s="149">
        <f t="shared" si="0"/>
        <v>0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</row>
    <row r="20" spans="1:14" x14ac:dyDescent="0.25">
      <c r="A20" s="146" t="s">
        <v>504</v>
      </c>
      <c r="B20" s="149">
        <f t="shared" si="0"/>
        <v>150000</v>
      </c>
      <c r="C20" s="145"/>
      <c r="D20" s="145"/>
      <c r="E20" s="145"/>
      <c r="F20" s="145">
        <v>150000</v>
      </c>
      <c r="G20" s="145"/>
      <c r="H20" s="145"/>
      <c r="I20" s="145"/>
      <c r="J20" s="145"/>
      <c r="K20" s="145"/>
      <c r="L20" s="145"/>
      <c r="M20" s="145"/>
      <c r="N20" s="145"/>
    </row>
    <row r="21" spans="1:14" x14ac:dyDescent="0.25">
      <c r="A21" s="146" t="s">
        <v>503</v>
      </c>
      <c r="B21" s="149">
        <f t="shared" si="0"/>
        <v>0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</row>
    <row r="22" spans="1:14" ht="45" x14ac:dyDescent="0.25">
      <c r="A22" s="146" t="s">
        <v>502</v>
      </c>
      <c r="B22" s="149">
        <f t="shared" si="0"/>
        <v>7648833.7300000004</v>
      </c>
      <c r="C22" s="145"/>
      <c r="D22" s="145">
        <v>523061.81</v>
      </c>
      <c r="E22" s="145">
        <v>5951371.9400000004</v>
      </c>
      <c r="F22" s="145"/>
      <c r="G22" s="145">
        <v>1174399.98</v>
      </c>
      <c r="H22" s="145"/>
      <c r="I22" s="145"/>
      <c r="J22" s="145"/>
      <c r="K22" s="145"/>
      <c r="L22" s="145"/>
      <c r="M22" s="145"/>
      <c r="N22" s="145"/>
    </row>
    <row r="23" spans="1:14" ht="30" x14ac:dyDescent="0.25">
      <c r="A23" s="146" t="s">
        <v>501</v>
      </c>
      <c r="B23" s="149">
        <f t="shared" si="0"/>
        <v>902700</v>
      </c>
      <c r="C23" s="145"/>
      <c r="D23" s="145">
        <v>489700</v>
      </c>
      <c r="E23" s="145"/>
      <c r="F23" s="145"/>
      <c r="G23" s="145">
        <v>413000</v>
      </c>
      <c r="H23" s="145"/>
      <c r="I23" s="145"/>
      <c r="J23" s="145"/>
      <c r="K23" s="145"/>
      <c r="L23" s="145"/>
      <c r="M23" s="145"/>
      <c r="N23" s="145"/>
    </row>
    <row r="24" spans="1:14" ht="30" x14ac:dyDescent="0.25">
      <c r="A24" s="146" t="s">
        <v>500</v>
      </c>
      <c r="B24" s="149">
        <f t="shared" si="0"/>
        <v>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</row>
    <row r="25" spans="1:14" x14ac:dyDescent="0.25">
      <c r="A25" s="152" t="s">
        <v>499</v>
      </c>
      <c r="B25" s="151">
        <f t="shared" si="0"/>
        <v>83130403.640000001</v>
      </c>
      <c r="C25" s="150">
        <f t="shared" ref="C25:N25" si="3">SUM(C26:C34)</f>
        <v>4970600.3900000006</v>
      </c>
      <c r="D25" s="150">
        <f t="shared" si="3"/>
        <v>14433131.48</v>
      </c>
      <c r="E25" s="150">
        <f t="shared" si="3"/>
        <v>26749551.519999996</v>
      </c>
      <c r="F25" s="150">
        <f t="shared" si="3"/>
        <v>20368607.43</v>
      </c>
      <c r="G25" s="150">
        <f t="shared" si="3"/>
        <v>16608512.82</v>
      </c>
      <c r="H25" s="150">
        <f t="shared" si="3"/>
        <v>0</v>
      </c>
      <c r="I25" s="150">
        <f t="shared" si="3"/>
        <v>0</v>
      </c>
      <c r="J25" s="150">
        <f t="shared" si="3"/>
        <v>0</v>
      </c>
      <c r="K25" s="150">
        <f t="shared" si="3"/>
        <v>0</v>
      </c>
      <c r="L25" s="150">
        <f t="shared" si="3"/>
        <v>0</v>
      </c>
      <c r="M25" s="150">
        <f t="shared" si="3"/>
        <v>0</v>
      </c>
      <c r="N25" s="150">
        <f t="shared" si="3"/>
        <v>0</v>
      </c>
    </row>
    <row r="26" spans="1:14" ht="30" x14ac:dyDescent="0.25">
      <c r="A26" s="146" t="s">
        <v>498</v>
      </c>
      <c r="B26" s="149"/>
      <c r="C26" s="145"/>
      <c r="D26" s="145">
        <v>591460.4</v>
      </c>
      <c r="E26" s="145">
        <v>3122436.84</v>
      </c>
      <c r="F26" s="145">
        <v>812515</v>
      </c>
      <c r="G26" s="145">
        <v>1657538</v>
      </c>
      <c r="H26" s="145"/>
      <c r="I26" s="145"/>
      <c r="J26" s="145"/>
      <c r="K26" s="145"/>
      <c r="L26" s="145"/>
      <c r="M26" s="145"/>
      <c r="N26" s="145"/>
    </row>
    <row r="27" spans="1:14" x14ac:dyDescent="0.25">
      <c r="A27" s="146" t="s">
        <v>497</v>
      </c>
      <c r="B27" s="149"/>
      <c r="C27" s="145"/>
      <c r="D27" s="145">
        <v>61630.73</v>
      </c>
      <c r="E27" s="145"/>
      <c r="F27" s="145">
        <v>1562980.47</v>
      </c>
      <c r="G27" s="145"/>
      <c r="H27" s="145"/>
      <c r="I27" s="145"/>
      <c r="J27" s="145"/>
      <c r="K27" s="145"/>
      <c r="L27" s="145"/>
      <c r="M27" s="145"/>
      <c r="N27" s="145"/>
    </row>
    <row r="28" spans="1:14" ht="30" x14ac:dyDescent="0.25">
      <c r="A28" s="146" t="s">
        <v>496</v>
      </c>
      <c r="B28" s="149"/>
      <c r="C28" s="145"/>
      <c r="D28" s="145">
        <v>352366.67</v>
      </c>
      <c r="E28" s="145">
        <v>1474545.17</v>
      </c>
      <c r="F28" s="145">
        <v>1510942.21</v>
      </c>
      <c r="G28" s="145">
        <v>765138.96</v>
      </c>
      <c r="H28" s="145"/>
      <c r="I28" s="145"/>
      <c r="J28" s="145"/>
      <c r="K28" s="145"/>
      <c r="L28" s="145"/>
      <c r="M28" s="145"/>
      <c r="N28" s="145"/>
    </row>
    <row r="29" spans="1:14" x14ac:dyDescent="0.25">
      <c r="A29" s="146" t="s">
        <v>495</v>
      </c>
      <c r="B29" s="149"/>
      <c r="C29" s="145">
        <v>1862880</v>
      </c>
      <c r="D29" s="145">
        <v>2014526.8</v>
      </c>
      <c r="E29" s="145">
        <v>6919929</v>
      </c>
      <c r="F29" s="145">
        <v>6349109</v>
      </c>
      <c r="G29" s="145">
        <v>2637285.6</v>
      </c>
      <c r="H29" s="145"/>
      <c r="I29" s="145"/>
      <c r="J29" s="145"/>
      <c r="K29" s="145"/>
      <c r="L29" s="145"/>
      <c r="M29" s="145"/>
      <c r="N29" s="145"/>
    </row>
    <row r="30" spans="1:14" ht="30" x14ac:dyDescent="0.25">
      <c r="A30" s="146" t="s">
        <v>494</v>
      </c>
      <c r="B30" s="149"/>
      <c r="C30" s="145"/>
      <c r="D30" s="145"/>
      <c r="E30" s="145">
        <v>334708.95</v>
      </c>
      <c r="F30" s="145">
        <v>506546.35</v>
      </c>
      <c r="G30" s="145">
        <v>384413.08</v>
      </c>
      <c r="H30" s="145"/>
      <c r="I30" s="145"/>
      <c r="J30" s="145"/>
      <c r="K30" s="145"/>
      <c r="L30" s="145"/>
      <c r="M30" s="145"/>
      <c r="N30" s="145"/>
    </row>
    <row r="31" spans="1:14" ht="30" x14ac:dyDescent="0.25">
      <c r="A31" s="146" t="s">
        <v>493</v>
      </c>
      <c r="B31" s="149"/>
      <c r="C31" s="145"/>
      <c r="D31" s="145">
        <v>11630.98</v>
      </c>
      <c r="E31" s="145"/>
      <c r="F31" s="145">
        <v>351015.88</v>
      </c>
      <c r="G31" s="145">
        <v>215177.81</v>
      </c>
      <c r="H31" s="145"/>
      <c r="I31" s="145"/>
      <c r="J31" s="145"/>
      <c r="K31" s="145"/>
      <c r="L31" s="145"/>
      <c r="M31" s="145"/>
      <c r="N31" s="145"/>
    </row>
    <row r="32" spans="1:14" ht="30" x14ac:dyDescent="0.25">
      <c r="A32" s="146" t="s">
        <v>492</v>
      </c>
      <c r="B32" s="149"/>
      <c r="C32" s="145">
        <v>1844663.41</v>
      </c>
      <c r="D32" s="145">
        <v>3902915.53</v>
      </c>
      <c r="E32" s="145">
        <v>3162523.02</v>
      </c>
      <c r="F32" s="145">
        <v>2759191.89</v>
      </c>
      <c r="G32" s="145">
        <v>4409677.4800000004</v>
      </c>
      <c r="H32" s="145"/>
      <c r="I32" s="145"/>
      <c r="J32" s="145"/>
      <c r="K32" s="145"/>
      <c r="L32" s="145"/>
      <c r="M32" s="145"/>
      <c r="N32" s="145"/>
    </row>
    <row r="33" spans="1:14" ht="45" x14ac:dyDescent="0.25">
      <c r="A33" s="146" t="s">
        <v>491</v>
      </c>
      <c r="B33" s="149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</row>
    <row r="34" spans="1:14" x14ac:dyDescent="0.25">
      <c r="A34" s="146" t="s">
        <v>490</v>
      </c>
      <c r="B34" s="149"/>
      <c r="C34" s="145">
        <v>1263056.98</v>
      </c>
      <c r="D34" s="145">
        <v>7498600.3700000001</v>
      </c>
      <c r="E34" s="145">
        <v>11735408.539999999</v>
      </c>
      <c r="F34" s="145">
        <v>6516306.6299999999</v>
      </c>
      <c r="G34" s="145">
        <v>6539281.8899999997</v>
      </c>
      <c r="H34" s="145"/>
      <c r="I34" s="145"/>
      <c r="J34" s="145"/>
      <c r="K34" s="145"/>
      <c r="L34" s="145"/>
      <c r="M34" s="145"/>
      <c r="N34" s="145"/>
    </row>
    <row r="35" spans="1:14" x14ac:dyDescent="0.25">
      <c r="A35" s="152" t="s">
        <v>489</v>
      </c>
      <c r="B35" s="151">
        <f t="shared" si="0"/>
        <v>0</v>
      </c>
      <c r="C35" s="150">
        <f t="shared" ref="C35:N35" si="4">SUM(C36:C42)</f>
        <v>0</v>
      </c>
      <c r="D35" s="150">
        <f t="shared" si="4"/>
        <v>0</v>
      </c>
      <c r="E35" s="150">
        <f t="shared" si="4"/>
        <v>0</v>
      </c>
      <c r="F35" s="150">
        <f t="shared" si="4"/>
        <v>0</v>
      </c>
      <c r="G35" s="150">
        <f t="shared" si="4"/>
        <v>0</v>
      </c>
      <c r="H35" s="150">
        <f t="shared" si="4"/>
        <v>0</v>
      </c>
      <c r="I35" s="150">
        <f t="shared" si="4"/>
        <v>0</v>
      </c>
      <c r="J35" s="150">
        <f t="shared" si="4"/>
        <v>0</v>
      </c>
      <c r="K35" s="150">
        <f t="shared" si="4"/>
        <v>0</v>
      </c>
      <c r="L35" s="150">
        <f t="shared" si="4"/>
        <v>0</v>
      </c>
      <c r="M35" s="150">
        <f t="shared" si="4"/>
        <v>0</v>
      </c>
      <c r="N35" s="150">
        <f t="shared" si="4"/>
        <v>0</v>
      </c>
    </row>
    <row r="36" spans="1:14" ht="30" x14ac:dyDescent="0.25">
      <c r="A36" s="146" t="s">
        <v>488</v>
      </c>
      <c r="B36" s="149">
        <f t="shared" si="0"/>
        <v>0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</row>
    <row r="37" spans="1:14" ht="30" x14ac:dyDescent="0.25">
      <c r="A37" s="146" t="s">
        <v>487</v>
      </c>
      <c r="B37" s="149">
        <f t="shared" si="0"/>
        <v>0</v>
      </c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</row>
    <row r="38" spans="1:14" ht="30" x14ac:dyDescent="0.25">
      <c r="A38" s="146" t="s">
        <v>486</v>
      </c>
      <c r="B38" s="149">
        <f t="shared" si="0"/>
        <v>0</v>
      </c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</row>
    <row r="39" spans="1:14" ht="30" x14ac:dyDescent="0.25">
      <c r="A39" s="146" t="s">
        <v>485</v>
      </c>
      <c r="B39" s="149">
        <f t="shared" si="0"/>
        <v>0</v>
      </c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</row>
    <row r="40" spans="1:14" ht="30" x14ac:dyDescent="0.25">
      <c r="A40" s="146" t="s">
        <v>484</v>
      </c>
      <c r="B40" s="149">
        <f t="shared" si="0"/>
        <v>0</v>
      </c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</row>
    <row r="41" spans="1:14" ht="30" x14ac:dyDescent="0.25">
      <c r="A41" s="146" t="s">
        <v>483</v>
      </c>
      <c r="B41" s="149">
        <f t="shared" ref="B41:B72" si="5">SUM(C41:N41)</f>
        <v>0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</row>
    <row r="42" spans="1:14" ht="30" x14ac:dyDescent="0.25">
      <c r="A42" s="146" t="s">
        <v>482</v>
      </c>
      <c r="B42" s="149">
        <f t="shared" si="5"/>
        <v>0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</row>
    <row r="43" spans="1:14" x14ac:dyDescent="0.25">
      <c r="A43" s="152" t="s">
        <v>481</v>
      </c>
      <c r="B43" s="151">
        <f t="shared" si="5"/>
        <v>0</v>
      </c>
      <c r="C43" s="150">
        <f t="shared" ref="C43:N43" si="6">SUM(C44:C50)</f>
        <v>0</v>
      </c>
      <c r="D43" s="150">
        <f t="shared" si="6"/>
        <v>0</v>
      </c>
      <c r="E43" s="150">
        <f t="shared" si="6"/>
        <v>0</v>
      </c>
      <c r="F43" s="150">
        <f t="shared" si="6"/>
        <v>0</v>
      </c>
      <c r="G43" s="150">
        <f t="shared" si="6"/>
        <v>0</v>
      </c>
      <c r="H43" s="150">
        <f t="shared" si="6"/>
        <v>0</v>
      </c>
      <c r="I43" s="150">
        <f t="shared" si="6"/>
        <v>0</v>
      </c>
      <c r="J43" s="150">
        <f t="shared" si="6"/>
        <v>0</v>
      </c>
      <c r="K43" s="150">
        <f t="shared" si="6"/>
        <v>0</v>
      </c>
      <c r="L43" s="150">
        <f t="shared" si="6"/>
        <v>0</v>
      </c>
      <c r="M43" s="150">
        <f t="shared" si="6"/>
        <v>0</v>
      </c>
      <c r="N43" s="150">
        <f t="shared" si="6"/>
        <v>0</v>
      </c>
    </row>
    <row r="44" spans="1:14" ht="30" x14ac:dyDescent="0.25">
      <c r="A44" s="146" t="s">
        <v>480</v>
      </c>
      <c r="B44" s="149">
        <f t="shared" si="5"/>
        <v>0</v>
      </c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</row>
    <row r="45" spans="1:14" ht="30" x14ac:dyDescent="0.25">
      <c r="A45" s="146" t="s">
        <v>479</v>
      </c>
      <c r="B45" s="149">
        <f t="shared" si="5"/>
        <v>0</v>
      </c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</row>
    <row r="46" spans="1:14" ht="30" x14ac:dyDescent="0.25">
      <c r="A46" s="146" t="s">
        <v>478</v>
      </c>
      <c r="B46" s="149">
        <f t="shared" si="5"/>
        <v>0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</row>
    <row r="47" spans="1:14" ht="30" x14ac:dyDescent="0.25">
      <c r="A47" s="146" t="s">
        <v>477</v>
      </c>
      <c r="B47" s="149">
        <f t="shared" si="5"/>
        <v>0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</row>
    <row r="48" spans="1:14" ht="30" x14ac:dyDescent="0.25">
      <c r="A48" s="146" t="s">
        <v>476</v>
      </c>
      <c r="B48" s="149">
        <f t="shared" si="5"/>
        <v>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</row>
    <row r="49" spans="1:14" ht="30" x14ac:dyDescent="0.25">
      <c r="A49" s="146" t="s">
        <v>475</v>
      </c>
      <c r="B49" s="149">
        <f t="shared" si="5"/>
        <v>0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</row>
    <row r="50" spans="1:14" ht="30" x14ac:dyDescent="0.25">
      <c r="A50" s="146" t="s">
        <v>474</v>
      </c>
      <c r="B50" s="149">
        <f t="shared" si="5"/>
        <v>0</v>
      </c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</row>
    <row r="51" spans="1:14" ht="30" x14ac:dyDescent="0.25">
      <c r="A51" s="152" t="s">
        <v>473</v>
      </c>
      <c r="B51" s="151">
        <f t="shared" si="5"/>
        <v>29103581.150000002</v>
      </c>
      <c r="C51" s="150">
        <f t="shared" ref="C51:N51" si="7">SUM(C52:C60)</f>
        <v>0</v>
      </c>
      <c r="D51" s="150">
        <f t="shared" si="7"/>
        <v>6461017.2600000007</v>
      </c>
      <c r="E51" s="150">
        <f t="shared" si="7"/>
        <v>11396849.360000001</v>
      </c>
      <c r="F51" s="150">
        <f t="shared" si="7"/>
        <v>4665041.3900000006</v>
      </c>
      <c r="G51" s="150">
        <f t="shared" si="7"/>
        <v>6580673.1400000006</v>
      </c>
      <c r="H51" s="150">
        <f t="shared" si="7"/>
        <v>0</v>
      </c>
      <c r="I51" s="150">
        <f t="shared" si="7"/>
        <v>0</v>
      </c>
      <c r="J51" s="150">
        <f t="shared" si="7"/>
        <v>0</v>
      </c>
      <c r="K51" s="150">
        <f t="shared" si="7"/>
        <v>0</v>
      </c>
      <c r="L51" s="150">
        <f t="shared" si="7"/>
        <v>0</v>
      </c>
      <c r="M51" s="150">
        <f t="shared" si="7"/>
        <v>0</v>
      </c>
      <c r="N51" s="150">
        <f t="shared" si="7"/>
        <v>0</v>
      </c>
    </row>
    <row r="52" spans="1:14" x14ac:dyDescent="0.25">
      <c r="A52" s="146" t="s">
        <v>472</v>
      </c>
      <c r="B52" s="149">
        <f t="shared" si="5"/>
        <v>3154544.59</v>
      </c>
      <c r="C52" s="145"/>
      <c r="D52" s="145">
        <v>432420.86</v>
      </c>
      <c r="E52" s="145">
        <v>678205</v>
      </c>
      <c r="F52" s="145">
        <v>1812434.48</v>
      </c>
      <c r="G52" s="145">
        <v>231484.25</v>
      </c>
      <c r="H52" s="145"/>
      <c r="I52" s="145"/>
      <c r="J52" s="145"/>
      <c r="K52" s="145"/>
      <c r="L52" s="145"/>
      <c r="M52" s="145"/>
      <c r="N52" s="145"/>
    </row>
    <row r="53" spans="1:14" ht="30" x14ac:dyDescent="0.25">
      <c r="A53" s="146" t="s">
        <v>471</v>
      </c>
      <c r="B53" s="149">
        <f t="shared" si="5"/>
        <v>182926.74</v>
      </c>
      <c r="C53" s="145"/>
      <c r="D53" s="145"/>
      <c r="E53" s="145"/>
      <c r="F53" s="145"/>
      <c r="G53" s="145">
        <v>182926.74</v>
      </c>
      <c r="H53" s="145"/>
      <c r="I53" s="145"/>
      <c r="J53" s="145"/>
      <c r="K53" s="145"/>
      <c r="L53" s="145"/>
      <c r="M53" s="145"/>
      <c r="N53" s="145"/>
    </row>
    <row r="54" spans="1:14" ht="30" x14ac:dyDescent="0.25">
      <c r="A54" s="146" t="s">
        <v>470</v>
      </c>
      <c r="B54" s="149">
        <f t="shared" si="5"/>
        <v>21665039.360000003</v>
      </c>
      <c r="C54" s="145"/>
      <c r="D54" s="145">
        <v>6028596.4000000004</v>
      </c>
      <c r="E54" s="145">
        <v>10715444.390000001</v>
      </c>
      <c r="F54" s="145">
        <v>2635786.91</v>
      </c>
      <c r="G54" s="145">
        <v>2285211.66</v>
      </c>
      <c r="H54" s="145"/>
      <c r="I54" s="145"/>
      <c r="J54" s="145"/>
      <c r="K54" s="145"/>
      <c r="L54" s="145"/>
      <c r="M54" s="145"/>
      <c r="N54" s="145"/>
    </row>
    <row r="55" spans="1:14" ht="30" x14ac:dyDescent="0.25">
      <c r="A55" s="146" t="s">
        <v>469</v>
      </c>
      <c r="B55" s="149">
        <f t="shared" si="5"/>
        <v>0</v>
      </c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</row>
    <row r="56" spans="1:14" ht="30" x14ac:dyDescent="0.25">
      <c r="A56" s="146" t="s">
        <v>468</v>
      </c>
      <c r="B56" s="149">
        <f t="shared" si="5"/>
        <v>3755509.52</v>
      </c>
      <c r="C56" s="145"/>
      <c r="D56" s="145"/>
      <c r="E56" s="145">
        <v>3199.97</v>
      </c>
      <c r="F56" s="145">
        <v>216820</v>
      </c>
      <c r="G56" s="145">
        <v>3535489.55</v>
      </c>
      <c r="H56" s="145"/>
      <c r="I56" s="145"/>
      <c r="J56" s="145"/>
      <c r="K56" s="145"/>
      <c r="L56" s="145"/>
      <c r="M56" s="145"/>
      <c r="N56" s="145"/>
    </row>
    <row r="57" spans="1:14" ht="30" x14ac:dyDescent="0.25">
      <c r="A57" s="146" t="s">
        <v>467</v>
      </c>
      <c r="B57" s="149">
        <f t="shared" si="5"/>
        <v>0</v>
      </c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</row>
    <row r="58" spans="1:14" ht="30" x14ac:dyDescent="0.25">
      <c r="A58" s="146" t="s">
        <v>466</v>
      </c>
      <c r="B58" s="149">
        <f t="shared" si="5"/>
        <v>0</v>
      </c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</row>
    <row r="59" spans="1:14" x14ac:dyDescent="0.25">
      <c r="A59" s="146" t="s">
        <v>465</v>
      </c>
      <c r="B59" s="149">
        <f t="shared" si="5"/>
        <v>0</v>
      </c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</row>
    <row r="60" spans="1:14" ht="45" x14ac:dyDescent="0.25">
      <c r="A60" s="146" t="s">
        <v>464</v>
      </c>
      <c r="B60" s="149">
        <f t="shared" si="5"/>
        <v>345560.94</v>
      </c>
      <c r="C60" s="145"/>
      <c r="D60" s="145"/>
      <c r="E60" s="145"/>
      <c r="F60" s="145"/>
      <c r="G60" s="145">
        <v>345560.94</v>
      </c>
      <c r="H60" s="145"/>
      <c r="I60" s="145"/>
      <c r="J60" s="145"/>
      <c r="K60" s="145"/>
      <c r="L60" s="145"/>
      <c r="M60" s="145"/>
      <c r="N60" s="145"/>
    </row>
    <row r="61" spans="1:14" x14ac:dyDescent="0.25">
      <c r="A61" s="152" t="s">
        <v>463</v>
      </c>
      <c r="B61" s="151">
        <f t="shared" si="5"/>
        <v>0</v>
      </c>
      <c r="C61" s="150">
        <f t="shared" ref="C61:N61" si="8">SUM(C62:C65)</f>
        <v>0</v>
      </c>
      <c r="D61" s="150">
        <f t="shared" si="8"/>
        <v>0</v>
      </c>
      <c r="E61" s="150">
        <f t="shared" si="8"/>
        <v>0</v>
      </c>
      <c r="F61" s="150">
        <f t="shared" si="8"/>
        <v>0</v>
      </c>
      <c r="G61" s="150">
        <f t="shared" si="8"/>
        <v>0</v>
      </c>
      <c r="H61" s="150">
        <f t="shared" si="8"/>
        <v>0</v>
      </c>
      <c r="I61" s="150">
        <f t="shared" si="8"/>
        <v>0</v>
      </c>
      <c r="J61" s="150">
        <f t="shared" si="8"/>
        <v>0</v>
      </c>
      <c r="K61" s="150">
        <f t="shared" si="8"/>
        <v>0</v>
      </c>
      <c r="L61" s="150">
        <f t="shared" si="8"/>
        <v>0</v>
      </c>
      <c r="M61" s="150">
        <f t="shared" si="8"/>
        <v>0</v>
      </c>
      <c r="N61" s="150">
        <f t="shared" si="8"/>
        <v>0</v>
      </c>
    </row>
    <row r="62" spans="1:14" x14ac:dyDescent="0.25">
      <c r="A62" s="146" t="s">
        <v>462</v>
      </c>
      <c r="B62" s="149">
        <f t="shared" si="5"/>
        <v>0</v>
      </c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</row>
    <row r="63" spans="1:14" x14ac:dyDescent="0.25">
      <c r="A63" s="146" t="s">
        <v>461</v>
      </c>
      <c r="B63" s="149">
        <f t="shared" si="5"/>
        <v>0</v>
      </c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</row>
    <row r="64" spans="1:14" ht="30" x14ac:dyDescent="0.25">
      <c r="A64" s="146" t="s">
        <v>460</v>
      </c>
      <c r="B64" s="149">
        <f t="shared" si="5"/>
        <v>0</v>
      </c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</row>
    <row r="65" spans="1:14" ht="45" x14ac:dyDescent="0.25">
      <c r="A65" s="146" t="s">
        <v>459</v>
      </c>
      <c r="B65" s="149">
        <f t="shared" si="5"/>
        <v>0</v>
      </c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</row>
    <row r="66" spans="1:14" ht="30" x14ac:dyDescent="0.25">
      <c r="A66" s="152" t="s">
        <v>458</v>
      </c>
      <c r="B66" s="151">
        <f t="shared" si="5"/>
        <v>0</v>
      </c>
      <c r="C66" s="150">
        <f t="shared" ref="C66:N66" si="9">SUM(C67:C68)</f>
        <v>0</v>
      </c>
      <c r="D66" s="150">
        <f t="shared" si="9"/>
        <v>0</v>
      </c>
      <c r="E66" s="150">
        <f t="shared" si="9"/>
        <v>0</v>
      </c>
      <c r="F66" s="150">
        <f t="shared" si="9"/>
        <v>0</v>
      </c>
      <c r="G66" s="150">
        <f t="shared" si="9"/>
        <v>0</v>
      </c>
      <c r="H66" s="150">
        <f t="shared" si="9"/>
        <v>0</v>
      </c>
      <c r="I66" s="150">
        <f t="shared" si="9"/>
        <v>0</v>
      </c>
      <c r="J66" s="150">
        <f t="shared" si="9"/>
        <v>0</v>
      </c>
      <c r="K66" s="150">
        <f t="shared" si="9"/>
        <v>0</v>
      </c>
      <c r="L66" s="150">
        <f t="shared" si="9"/>
        <v>0</v>
      </c>
      <c r="M66" s="150">
        <f t="shared" si="9"/>
        <v>0</v>
      </c>
      <c r="N66" s="150">
        <f t="shared" si="9"/>
        <v>0</v>
      </c>
    </row>
    <row r="67" spans="1:14" x14ac:dyDescent="0.25">
      <c r="A67" s="146" t="s">
        <v>457</v>
      </c>
      <c r="B67" s="149">
        <f t="shared" si="5"/>
        <v>0</v>
      </c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</row>
    <row r="68" spans="1:14" ht="30" x14ac:dyDescent="0.25">
      <c r="A68" s="146" t="s">
        <v>456</v>
      </c>
      <c r="B68" s="149">
        <f t="shared" si="5"/>
        <v>0</v>
      </c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</row>
    <row r="69" spans="1:14" x14ac:dyDescent="0.25">
      <c r="A69" s="152" t="s">
        <v>455</v>
      </c>
      <c r="B69" s="151">
        <f t="shared" si="5"/>
        <v>0</v>
      </c>
      <c r="C69" s="150">
        <f t="shared" ref="C69:N69" si="10">SUM(C70:C72)</f>
        <v>0</v>
      </c>
      <c r="D69" s="150">
        <f t="shared" si="10"/>
        <v>0</v>
      </c>
      <c r="E69" s="150">
        <f t="shared" si="10"/>
        <v>0</v>
      </c>
      <c r="F69" s="150">
        <f t="shared" si="10"/>
        <v>0</v>
      </c>
      <c r="G69" s="150">
        <f t="shared" si="10"/>
        <v>0</v>
      </c>
      <c r="H69" s="150">
        <f t="shared" si="10"/>
        <v>0</v>
      </c>
      <c r="I69" s="150">
        <f t="shared" si="10"/>
        <v>0</v>
      </c>
      <c r="J69" s="150">
        <f t="shared" si="10"/>
        <v>0</v>
      </c>
      <c r="K69" s="150">
        <f t="shared" si="10"/>
        <v>0</v>
      </c>
      <c r="L69" s="150">
        <f t="shared" si="10"/>
        <v>0</v>
      </c>
      <c r="M69" s="150">
        <f t="shared" si="10"/>
        <v>0</v>
      </c>
      <c r="N69" s="150">
        <f t="shared" si="10"/>
        <v>0</v>
      </c>
    </row>
    <row r="70" spans="1:14" ht="30" x14ac:dyDescent="0.25">
      <c r="A70" s="146" t="s">
        <v>454</v>
      </c>
      <c r="B70" s="149">
        <f t="shared" si="5"/>
        <v>0</v>
      </c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</row>
    <row r="71" spans="1:14" ht="30" x14ac:dyDescent="0.25">
      <c r="A71" s="146" t="s">
        <v>453</v>
      </c>
      <c r="B71" s="149">
        <f t="shared" si="5"/>
        <v>0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</row>
    <row r="72" spans="1:14" ht="30" x14ac:dyDescent="0.25">
      <c r="A72" s="146" t="s">
        <v>452</v>
      </c>
      <c r="B72" s="149">
        <f t="shared" si="5"/>
        <v>0</v>
      </c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</row>
    <row r="73" spans="1:14" x14ac:dyDescent="0.25">
      <c r="A73" s="144" t="s">
        <v>451</v>
      </c>
      <c r="B73" s="143">
        <f t="shared" ref="B73:N73" si="11">B9+B15+B25+B35+B43+B51+B61+B66+B69</f>
        <v>455181151.69999999</v>
      </c>
      <c r="C73" s="143">
        <f t="shared" si="11"/>
        <v>70061780.310000002</v>
      </c>
      <c r="D73" s="143">
        <f t="shared" si="11"/>
        <v>89363053.320000008</v>
      </c>
      <c r="E73" s="143">
        <f t="shared" si="11"/>
        <v>112455416.94</v>
      </c>
      <c r="F73" s="143">
        <f t="shared" si="11"/>
        <v>91800339.5</v>
      </c>
      <c r="G73" s="143">
        <f t="shared" si="11"/>
        <v>91500561.63000001</v>
      </c>
      <c r="H73" s="143">
        <f t="shared" si="11"/>
        <v>0</v>
      </c>
      <c r="I73" s="143">
        <f t="shared" si="11"/>
        <v>0</v>
      </c>
      <c r="J73" s="143">
        <f t="shared" si="11"/>
        <v>0</v>
      </c>
      <c r="K73" s="143">
        <f t="shared" si="11"/>
        <v>0</v>
      </c>
      <c r="L73" s="143">
        <f t="shared" si="11"/>
        <v>0</v>
      </c>
      <c r="M73" s="143">
        <f t="shared" si="11"/>
        <v>0</v>
      </c>
      <c r="N73" s="143">
        <f t="shared" si="11"/>
        <v>0</v>
      </c>
    </row>
    <row r="74" spans="1:14" x14ac:dyDescent="0.25">
      <c r="A74" s="148" t="s">
        <v>450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</row>
    <row r="75" spans="1:14" ht="30" x14ac:dyDescent="0.25">
      <c r="A75" s="148" t="s">
        <v>449</v>
      </c>
      <c r="B75" s="125"/>
      <c r="C75" s="147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</row>
    <row r="76" spans="1:14" ht="30" x14ac:dyDescent="0.25">
      <c r="A76" s="146" t="s">
        <v>448</v>
      </c>
      <c r="B76" s="125"/>
      <c r="C76" s="14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</row>
    <row r="77" spans="1:14" ht="30" x14ac:dyDescent="0.25">
      <c r="A77" s="146" t="s">
        <v>447</v>
      </c>
      <c r="B77" s="125"/>
      <c r="C77" s="14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</row>
    <row r="78" spans="1:14" x14ac:dyDescent="0.25">
      <c r="A78" s="148" t="s">
        <v>446</v>
      </c>
      <c r="B78" s="125"/>
      <c r="C78" s="147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</row>
    <row r="79" spans="1:14" ht="30" x14ac:dyDescent="0.25">
      <c r="A79" s="146" t="s">
        <v>445</v>
      </c>
      <c r="B79" s="125"/>
      <c r="C79" s="14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</row>
    <row r="80" spans="1:14" ht="30" x14ac:dyDescent="0.25">
      <c r="A80" s="146" t="s">
        <v>444</v>
      </c>
      <c r="B80" s="125"/>
      <c r="C80" s="14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</row>
    <row r="81" spans="1:14" ht="30" x14ac:dyDescent="0.25">
      <c r="A81" s="148" t="s">
        <v>443</v>
      </c>
      <c r="B81" s="125"/>
      <c r="C81" s="147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</row>
    <row r="82" spans="1:14" ht="30" x14ac:dyDescent="0.25">
      <c r="A82" s="146" t="s">
        <v>442</v>
      </c>
      <c r="B82" s="125"/>
      <c r="C82" s="14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</row>
    <row r="83" spans="1:14" x14ac:dyDescent="0.25">
      <c r="A83" s="144" t="s">
        <v>441</v>
      </c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</row>
    <row r="84" spans="1:14" x14ac:dyDescent="0.25">
      <c r="A84" s="1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</row>
    <row r="85" spans="1:14" ht="31.5" x14ac:dyDescent="0.25">
      <c r="A85" s="142" t="s">
        <v>440</v>
      </c>
      <c r="B85" s="141">
        <f t="shared" ref="B85:C85" si="12">+B83+B73</f>
        <v>455181151.69999999</v>
      </c>
      <c r="C85" s="141">
        <f t="shared" si="12"/>
        <v>70061780.310000002</v>
      </c>
      <c r="D85" s="141">
        <f>+D83+D73</f>
        <v>89363053.320000008</v>
      </c>
      <c r="E85" s="141">
        <f t="shared" ref="E85:N85" si="13">+E83+E73</f>
        <v>112455416.94</v>
      </c>
      <c r="F85" s="141">
        <f t="shared" si="13"/>
        <v>91800339.5</v>
      </c>
      <c r="G85" s="141">
        <f t="shared" si="13"/>
        <v>91500561.63000001</v>
      </c>
      <c r="H85" s="141">
        <f t="shared" si="13"/>
        <v>0</v>
      </c>
      <c r="I85" s="141">
        <f t="shared" si="13"/>
        <v>0</v>
      </c>
      <c r="J85" s="141">
        <f t="shared" si="13"/>
        <v>0</v>
      </c>
      <c r="K85" s="141">
        <f t="shared" si="13"/>
        <v>0</v>
      </c>
      <c r="L85" s="141">
        <f t="shared" si="13"/>
        <v>0</v>
      </c>
      <c r="M85" s="141">
        <f t="shared" si="13"/>
        <v>0</v>
      </c>
      <c r="N85" s="141">
        <f t="shared" si="13"/>
        <v>0</v>
      </c>
    </row>
    <row r="86" spans="1:14" x14ac:dyDescent="0.25">
      <c r="A86" t="s">
        <v>439</v>
      </c>
    </row>
    <row r="87" spans="1:14" x14ac:dyDescent="0.25">
      <c r="A87" t="s">
        <v>438</v>
      </c>
    </row>
    <row r="88" spans="1:14" x14ac:dyDescent="0.25">
      <c r="A88" t="s">
        <v>437</v>
      </c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35433070866141736" bottom="0.35433070866141736" header="0.31496062992125984" footer="0.31496062992125984"/>
  <pageSetup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topLeftCell="A7" zoomScale="90" zoomScaleNormal="90" zoomScaleSheetLayoutView="82" workbookViewId="0">
      <selection activeCell="A77" sqref="A77"/>
    </sheetView>
  </sheetViews>
  <sheetFormatPr baseColWidth="10" defaultColWidth="9.140625" defaultRowHeight="15" x14ac:dyDescent="0.25"/>
  <cols>
    <col min="1" max="1" width="45.42578125" customWidth="1"/>
    <col min="2" max="2" width="19" style="186" bestFit="1" customWidth="1"/>
    <col min="3" max="4" width="18.42578125" style="186" bestFit="1" customWidth="1"/>
    <col min="5" max="5" width="14.28515625" bestFit="1" customWidth="1"/>
    <col min="6" max="7" width="13.140625" bestFit="1" customWidth="1"/>
    <col min="8" max="10" width="11.5703125" bestFit="1" customWidth="1"/>
    <col min="11" max="11" width="12.42578125" bestFit="1" customWidth="1"/>
    <col min="12" max="12" width="11.5703125" bestFit="1" customWidth="1"/>
    <col min="13" max="13" width="11.85546875" customWidth="1"/>
    <col min="14" max="14" width="12.7109375" bestFit="1" customWidth="1"/>
  </cols>
  <sheetData>
    <row r="1" spans="1:14" ht="18.75" x14ac:dyDescent="0.25">
      <c r="A1" s="457" t="s">
        <v>77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</row>
    <row r="2" spans="1:14" ht="18.75" x14ac:dyDescent="0.25">
      <c r="A2" s="457" t="s">
        <v>665</v>
      </c>
      <c r="B2" s="457"/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</row>
    <row r="3" spans="1:14" ht="18.75" x14ac:dyDescent="0.25">
      <c r="A3" s="457" t="s">
        <v>532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7"/>
      <c r="M3" s="457"/>
      <c r="N3" s="457"/>
    </row>
    <row r="4" spans="1:14" ht="15.75" x14ac:dyDescent="0.25">
      <c r="A4" s="458" t="s">
        <v>733</v>
      </c>
      <c r="B4" s="458"/>
      <c r="C4" s="458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</row>
    <row r="5" spans="1:14" x14ac:dyDescent="0.25">
      <c r="A5" s="401" t="s">
        <v>531</v>
      </c>
      <c r="B5" s="401"/>
      <c r="C5" s="401"/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</row>
    <row r="7" spans="1:14" ht="15.75" x14ac:dyDescent="0.25">
      <c r="A7" s="155" t="s">
        <v>530</v>
      </c>
      <c r="B7" s="310" t="s">
        <v>529</v>
      </c>
      <c r="C7" s="310" t="s">
        <v>528</v>
      </c>
      <c r="D7" s="310" t="s">
        <v>527</v>
      </c>
      <c r="E7" s="154" t="s">
        <v>526</v>
      </c>
      <c r="F7" s="154" t="s">
        <v>525</v>
      </c>
      <c r="G7" s="154" t="s">
        <v>524</v>
      </c>
      <c r="H7" s="154" t="s">
        <v>523</v>
      </c>
      <c r="I7" s="154" t="s">
        <v>522</v>
      </c>
      <c r="J7" s="154" t="s">
        <v>521</v>
      </c>
      <c r="K7" s="154" t="s">
        <v>520</v>
      </c>
      <c r="L7" s="154" t="s">
        <v>519</v>
      </c>
      <c r="M7" s="154" t="s">
        <v>518</v>
      </c>
      <c r="N7" s="154" t="s">
        <v>517</v>
      </c>
    </row>
    <row r="8" spans="1:14" x14ac:dyDescent="0.25">
      <c r="A8" s="148" t="s">
        <v>516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</row>
    <row r="9" spans="1:14" x14ac:dyDescent="0.25">
      <c r="A9" s="152" t="s">
        <v>515</v>
      </c>
      <c r="B9" s="151">
        <f>SUM(C9:N9)</f>
        <v>5231553.59</v>
      </c>
      <c r="C9" s="150">
        <f>SUM(C10:C14)</f>
        <v>0</v>
      </c>
      <c r="D9" s="150">
        <f t="shared" ref="D9:N9" si="0">SUM(D10:D14)</f>
        <v>0</v>
      </c>
      <c r="E9" s="150">
        <f t="shared" si="0"/>
        <v>5231553.59</v>
      </c>
      <c r="F9" s="150">
        <f t="shared" si="0"/>
        <v>0</v>
      </c>
      <c r="G9" s="150">
        <f t="shared" si="0"/>
        <v>0</v>
      </c>
      <c r="H9" s="150">
        <f t="shared" si="0"/>
        <v>0</v>
      </c>
      <c r="I9" s="150">
        <f t="shared" si="0"/>
        <v>0</v>
      </c>
      <c r="J9" s="150">
        <f t="shared" si="0"/>
        <v>0</v>
      </c>
      <c r="K9" s="150">
        <f t="shared" si="0"/>
        <v>0</v>
      </c>
      <c r="L9" s="150">
        <f t="shared" si="0"/>
        <v>0</v>
      </c>
      <c r="M9" s="150">
        <f t="shared" si="0"/>
        <v>0</v>
      </c>
      <c r="N9" s="150">
        <f t="shared" si="0"/>
        <v>0</v>
      </c>
    </row>
    <row r="10" spans="1:14" x14ac:dyDescent="0.25">
      <c r="A10" s="146" t="s">
        <v>514</v>
      </c>
      <c r="B10" s="149">
        <f>SUM(C10:N10)</f>
        <v>0</v>
      </c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</row>
    <row r="11" spans="1:14" x14ac:dyDescent="0.25">
      <c r="A11" s="146" t="s">
        <v>513</v>
      </c>
      <c r="B11" s="149">
        <f t="shared" ref="B11:B14" si="1">SUM(C11:N11)</f>
        <v>5231553.59</v>
      </c>
      <c r="C11" s="145"/>
      <c r="D11" s="145"/>
      <c r="E11" s="145">
        <v>5231553.59</v>
      </c>
      <c r="F11" s="145"/>
      <c r="G11" s="145"/>
      <c r="H11" s="145"/>
      <c r="I11" s="145"/>
      <c r="J11" s="145"/>
      <c r="K11" s="145"/>
      <c r="L11" s="145"/>
      <c r="M11" s="145"/>
      <c r="N11" s="145"/>
    </row>
    <row r="12" spans="1:14" x14ac:dyDescent="0.25">
      <c r="A12" s="146" t="s">
        <v>512</v>
      </c>
      <c r="B12" s="149">
        <f t="shared" si="1"/>
        <v>0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spans="1:14" x14ac:dyDescent="0.25">
      <c r="A13" s="146" t="s">
        <v>511</v>
      </c>
      <c r="B13" s="149">
        <f t="shared" si="1"/>
        <v>0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spans="1:14" ht="30" x14ac:dyDescent="0.25">
      <c r="A14" s="146" t="s">
        <v>510</v>
      </c>
      <c r="B14" s="149">
        <f t="shared" si="1"/>
        <v>0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</row>
    <row r="15" spans="1:14" x14ac:dyDescent="0.25">
      <c r="A15" s="152" t="s">
        <v>509</v>
      </c>
      <c r="B15" s="151">
        <f>SUM(C15:N15)</f>
        <v>11607458.539999999</v>
      </c>
      <c r="C15" s="150">
        <f>SUM(C16:C24)</f>
        <v>2733844.2800000003</v>
      </c>
      <c r="D15" s="150">
        <f t="shared" ref="D15:N15" si="2">SUM(D16:D24)</f>
        <v>1213383.3500000001</v>
      </c>
      <c r="E15" s="150">
        <f t="shared" si="2"/>
        <v>4359456.22</v>
      </c>
      <c r="F15" s="150">
        <f t="shared" si="2"/>
        <v>1256712.0899999999</v>
      </c>
      <c r="G15" s="150">
        <f t="shared" si="2"/>
        <v>2044062.6</v>
      </c>
      <c r="H15" s="150">
        <f t="shared" si="2"/>
        <v>0</v>
      </c>
      <c r="I15" s="150">
        <f t="shared" si="2"/>
        <v>0</v>
      </c>
      <c r="J15" s="150">
        <f t="shared" si="2"/>
        <v>0</v>
      </c>
      <c r="K15" s="150">
        <f t="shared" si="2"/>
        <v>0</v>
      </c>
      <c r="L15" s="150">
        <f t="shared" si="2"/>
        <v>0</v>
      </c>
      <c r="M15" s="150">
        <f t="shared" si="2"/>
        <v>0</v>
      </c>
      <c r="N15" s="150">
        <f t="shared" si="2"/>
        <v>0</v>
      </c>
    </row>
    <row r="16" spans="1:14" x14ac:dyDescent="0.25">
      <c r="A16" s="146" t="s">
        <v>508</v>
      </c>
      <c r="B16" s="149">
        <f t="shared" ref="B16:B24" si="3">SUM(C16:N16)</f>
        <v>3725633.6399999997</v>
      </c>
      <c r="C16" s="145">
        <v>351316.33</v>
      </c>
      <c r="D16" s="145">
        <v>259054.4</v>
      </c>
      <c r="E16" s="145">
        <v>1731191.19</v>
      </c>
      <c r="F16" s="145">
        <v>285608.3</v>
      </c>
      <c r="G16" s="145">
        <v>1098463.42</v>
      </c>
      <c r="H16" s="145"/>
      <c r="I16" s="145"/>
      <c r="J16" s="145"/>
      <c r="K16" s="145"/>
      <c r="L16" s="145"/>
      <c r="M16" s="145"/>
      <c r="N16" s="145"/>
    </row>
    <row r="17" spans="1:14" ht="30" x14ac:dyDescent="0.25">
      <c r="A17" s="146" t="s">
        <v>507</v>
      </c>
      <c r="B17" s="149">
        <f>SUM(C17:N17)</f>
        <v>0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</row>
    <row r="18" spans="1:14" x14ac:dyDescent="0.25">
      <c r="A18" s="146" t="s">
        <v>506</v>
      </c>
      <c r="B18" s="149">
        <f t="shared" si="3"/>
        <v>0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</row>
    <row r="19" spans="1:14" ht="18" customHeight="1" x14ac:dyDescent="0.25">
      <c r="A19" s="146" t="s">
        <v>505</v>
      </c>
      <c r="B19" s="149">
        <f t="shared" si="3"/>
        <v>132000</v>
      </c>
      <c r="C19" s="145"/>
      <c r="D19" s="145">
        <v>24000</v>
      </c>
      <c r="E19" s="145">
        <v>32000</v>
      </c>
      <c r="F19" s="145"/>
      <c r="G19" s="145">
        <v>76000</v>
      </c>
      <c r="H19" s="145"/>
      <c r="I19" s="145"/>
      <c r="J19" s="145"/>
      <c r="K19" s="145"/>
      <c r="L19" s="145"/>
      <c r="M19" s="145"/>
      <c r="N19" s="145"/>
    </row>
    <row r="20" spans="1:14" x14ac:dyDescent="0.25">
      <c r="A20" s="146" t="s">
        <v>504</v>
      </c>
      <c r="B20" s="149">
        <f t="shared" si="3"/>
        <v>1278795.57</v>
      </c>
      <c r="C20" s="145">
        <v>266664.25</v>
      </c>
      <c r="D20" s="145">
        <v>252960.9</v>
      </c>
      <c r="E20" s="145"/>
      <c r="F20" s="145">
        <v>229519.78</v>
      </c>
      <c r="G20" s="145">
        <v>529650.64</v>
      </c>
      <c r="H20" s="145"/>
      <c r="I20" s="145"/>
      <c r="J20" s="145"/>
      <c r="K20" s="145"/>
      <c r="L20" s="145"/>
      <c r="M20" s="145"/>
      <c r="N20" s="145"/>
    </row>
    <row r="21" spans="1:14" x14ac:dyDescent="0.25">
      <c r="A21" s="146" t="s">
        <v>503</v>
      </c>
      <c r="B21" s="149">
        <f t="shared" si="3"/>
        <v>0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</row>
    <row r="22" spans="1:14" ht="45" x14ac:dyDescent="0.25">
      <c r="A22" s="146" t="s">
        <v>502</v>
      </c>
      <c r="B22" s="149">
        <f t="shared" si="3"/>
        <v>4962626.79</v>
      </c>
      <c r="C22" s="145">
        <v>2064518.35</v>
      </c>
      <c r="D22" s="145">
        <f>215685.19+42142.86+18061.22+33714.29+21673.47+18061.22+115591.83+7826.53</f>
        <v>472756.61000000004</v>
      </c>
      <c r="E22" s="145">
        <v>2019575.16</v>
      </c>
      <c r="F22" s="145">
        <v>199877.53</v>
      </c>
      <c r="G22" s="145">
        <v>205899.14</v>
      </c>
      <c r="H22" s="145"/>
      <c r="I22" s="145"/>
      <c r="J22" s="145"/>
      <c r="K22" s="145"/>
      <c r="L22" s="145"/>
      <c r="M22" s="145"/>
      <c r="N22" s="145"/>
    </row>
    <row r="23" spans="1:14" ht="30" x14ac:dyDescent="0.25">
      <c r="A23" s="146" t="s">
        <v>501</v>
      </c>
      <c r="B23" s="149">
        <f t="shared" si="3"/>
        <v>1508402.54</v>
      </c>
      <c r="C23" s="145">
        <v>51345.35</v>
      </c>
      <c r="D23" s="145">
        <f>193432+11179.44</f>
        <v>204611.44</v>
      </c>
      <c r="E23" s="145">
        <v>576689.87</v>
      </c>
      <c r="F23" s="145">
        <f>524513+17193.48</f>
        <v>541706.48</v>
      </c>
      <c r="G23" s="145">
        <v>134049.4</v>
      </c>
      <c r="H23" s="145"/>
      <c r="I23" s="145"/>
      <c r="J23" s="145"/>
      <c r="K23" s="145"/>
      <c r="L23" s="145"/>
      <c r="M23" s="145"/>
      <c r="N23" s="145"/>
    </row>
    <row r="24" spans="1:14" x14ac:dyDescent="0.25">
      <c r="A24" s="146" t="s">
        <v>500</v>
      </c>
      <c r="B24" s="149">
        <f t="shared" si="3"/>
        <v>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</row>
    <row r="25" spans="1:14" x14ac:dyDescent="0.25">
      <c r="A25" s="152" t="s">
        <v>499</v>
      </c>
      <c r="B25" s="151">
        <f>SUM(C25:N25)</f>
        <v>12845714.079999998</v>
      </c>
      <c r="C25" s="150">
        <f>SUM(C26:C34)</f>
        <v>3062630.67</v>
      </c>
      <c r="D25" s="150">
        <f t="shared" ref="D25:M25" si="4">SUM(D26:D34)</f>
        <v>2432378.29</v>
      </c>
      <c r="E25" s="150">
        <f t="shared" si="4"/>
        <v>1797538.3199999998</v>
      </c>
      <c r="F25" s="150">
        <f t="shared" si="4"/>
        <v>2995765.1999999997</v>
      </c>
      <c r="G25" s="150">
        <f t="shared" si="4"/>
        <v>2557401.6</v>
      </c>
      <c r="H25" s="150">
        <f t="shared" si="4"/>
        <v>0</v>
      </c>
      <c r="I25" s="150">
        <f t="shared" si="4"/>
        <v>0</v>
      </c>
      <c r="J25" s="150">
        <f t="shared" si="4"/>
        <v>0</v>
      </c>
      <c r="K25" s="150">
        <f t="shared" si="4"/>
        <v>0</v>
      </c>
      <c r="L25" s="150">
        <f t="shared" si="4"/>
        <v>0</v>
      </c>
      <c r="M25" s="150">
        <f t="shared" si="4"/>
        <v>0</v>
      </c>
      <c r="N25" s="150">
        <f>SUM(N26:N34)</f>
        <v>0</v>
      </c>
    </row>
    <row r="26" spans="1:14" ht="30" x14ac:dyDescent="0.25">
      <c r="A26" s="146" t="s">
        <v>498</v>
      </c>
      <c r="B26" s="149">
        <f t="shared" ref="B26:B34" si="5">SUM(C26:N26)</f>
        <v>1950680.8</v>
      </c>
      <c r="C26" s="145">
        <v>541265</v>
      </c>
      <c r="D26" s="145">
        <v>300691.8</v>
      </c>
      <c r="E26" s="145">
        <v>658799</v>
      </c>
      <c r="F26" s="145">
        <v>94850</v>
      </c>
      <c r="G26" s="145">
        <v>355075</v>
      </c>
      <c r="H26" s="145"/>
      <c r="I26" s="145"/>
      <c r="J26" s="145"/>
      <c r="K26" s="145"/>
      <c r="L26" s="145"/>
      <c r="M26" s="145"/>
      <c r="N26" s="145"/>
    </row>
    <row r="27" spans="1:14" x14ac:dyDescent="0.25">
      <c r="A27" s="146" t="s">
        <v>497</v>
      </c>
      <c r="B27" s="149">
        <f t="shared" si="5"/>
        <v>141128</v>
      </c>
      <c r="C27" s="145"/>
      <c r="D27" s="145"/>
      <c r="E27" s="145"/>
      <c r="F27" s="145"/>
      <c r="G27" s="145">
        <v>141128</v>
      </c>
      <c r="H27" s="145"/>
      <c r="I27" s="145"/>
      <c r="J27" s="145"/>
      <c r="K27" s="145"/>
      <c r="L27" s="145"/>
      <c r="M27" s="145"/>
      <c r="N27" s="145"/>
    </row>
    <row r="28" spans="1:14" ht="30" x14ac:dyDescent="0.25">
      <c r="A28" s="146" t="s">
        <v>496</v>
      </c>
      <c r="B28" s="149">
        <f t="shared" si="5"/>
        <v>1055152</v>
      </c>
      <c r="C28" s="145">
        <v>85550</v>
      </c>
      <c r="D28" s="145">
        <v>107616</v>
      </c>
      <c r="E28" s="145">
        <v>57997</v>
      </c>
      <c r="F28" s="145">
        <v>196824</v>
      </c>
      <c r="G28" s="145">
        <v>607165</v>
      </c>
      <c r="H28" s="145"/>
      <c r="I28" s="145"/>
      <c r="J28" s="145"/>
      <c r="K28" s="145"/>
      <c r="L28" s="145"/>
      <c r="M28" s="145"/>
      <c r="N28" s="145"/>
    </row>
    <row r="29" spans="1:14" x14ac:dyDescent="0.25">
      <c r="A29" s="146" t="s">
        <v>495</v>
      </c>
      <c r="B29" s="149">
        <f t="shared" si="5"/>
        <v>780100</v>
      </c>
      <c r="C29" s="145">
        <v>308000</v>
      </c>
      <c r="D29" s="145"/>
      <c r="E29" s="145">
        <v>250000</v>
      </c>
      <c r="F29" s="145">
        <v>92000</v>
      </c>
      <c r="G29" s="145">
        <v>130100</v>
      </c>
      <c r="H29" s="145"/>
      <c r="I29" s="145"/>
      <c r="J29" s="145"/>
      <c r="K29" s="145"/>
      <c r="L29" s="145"/>
      <c r="M29" s="145"/>
      <c r="N29" s="145"/>
    </row>
    <row r="30" spans="1:14" ht="30" x14ac:dyDescent="0.25">
      <c r="A30" s="146" t="s">
        <v>494</v>
      </c>
      <c r="B30" s="149">
        <f t="shared" si="5"/>
        <v>567494.87</v>
      </c>
      <c r="C30" s="145"/>
      <c r="D30" s="145">
        <v>249831.2</v>
      </c>
      <c r="E30" s="145">
        <v>317663.67</v>
      </c>
      <c r="F30" s="145"/>
      <c r="G30" s="145"/>
      <c r="H30" s="145"/>
      <c r="I30" s="145"/>
      <c r="J30" s="145"/>
      <c r="K30" s="145"/>
      <c r="L30" s="145"/>
      <c r="M30" s="145"/>
      <c r="N30" s="145"/>
    </row>
    <row r="31" spans="1:14" ht="30" x14ac:dyDescent="0.25">
      <c r="A31" s="146" t="s">
        <v>493</v>
      </c>
      <c r="B31" s="149">
        <f t="shared" si="5"/>
        <v>293957.3</v>
      </c>
      <c r="C31" s="145"/>
      <c r="D31" s="145">
        <v>183732.33</v>
      </c>
      <c r="E31" s="145">
        <v>110224.97</v>
      </c>
      <c r="F31" s="145"/>
      <c r="G31" s="145"/>
      <c r="H31" s="145"/>
      <c r="I31" s="145"/>
      <c r="J31" s="145"/>
      <c r="K31" s="145"/>
      <c r="L31" s="145"/>
      <c r="M31" s="145"/>
      <c r="N31" s="145"/>
    </row>
    <row r="32" spans="1:14" ht="30" x14ac:dyDescent="0.25">
      <c r="A32" s="146" t="s">
        <v>492</v>
      </c>
      <c r="B32" s="149">
        <f t="shared" si="5"/>
        <v>2952794.56</v>
      </c>
      <c r="C32" s="145">
        <v>228412.84</v>
      </c>
      <c r="D32" s="145">
        <v>1114592.73</v>
      </c>
      <c r="E32" s="145">
        <v>317328.99</v>
      </c>
      <c r="F32" s="145">
        <v>226537</v>
      </c>
      <c r="G32" s="145">
        <v>1065923</v>
      </c>
      <c r="H32" s="145"/>
      <c r="I32" s="145"/>
      <c r="J32" s="145"/>
      <c r="K32" s="145"/>
      <c r="L32" s="145"/>
      <c r="M32" s="145"/>
      <c r="N32" s="145"/>
    </row>
    <row r="33" spans="1:14" ht="30" x14ac:dyDescent="0.25">
      <c r="A33" s="146" t="s">
        <v>491</v>
      </c>
      <c r="B33" s="149">
        <f t="shared" si="5"/>
        <v>0</v>
      </c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</row>
    <row r="34" spans="1:14" x14ac:dyDescent="0.25">
      <c r="A34" s="146" t="s">
        <v>490</v>
      </c>
      <c r="B34" s="149">
        <f t="shared" si="5"/>
        <v>5104406.5499999989</v>
      </c>
      <c r="C34" s="145">
        <v>1899402.83</v>
      </c>
      <c r="D34" s="145">
        <f>423850.01+52064.22</f>
        <v>475914.23</v>
      </c>
      <c r="E34" s="145">
        <v>85524.69</v>
      </c>
      <c r="F34" s="145">
        <f>2330135.61+55418.59</f>
        <v>2385554.1999999997</v>
      </c>
      <c r="G34" s="145">
        <v>258010.6</v>
      </c>
      <c r="H34" s="145"/>
      <c r="I34" s="145"/>
      <c r="J34" s="145"/>
      <c r="K34" s="145"/>
      <c r="L34" s="145"/>
      <c r="M34" s="145"/>
      <c r="N34" s="145"/>
    </row>
    <row r="35" spans="1:14" x14ac:dyDescent="0.25">
      <c r="A35" s="152" t="s">
        <v>489</v>
      </c>
      <c r="B35" s="151">
        <f>SUM(C35:N35)</f>
        <v>1393167.7</v>
      </c>
      <c r="C35" s="150">
        <f>SUM(C36:C42)</f>
        <v>136966.70000000001</v>
      </c>
      <c r="D35" s="150">
        <f t="shared" ref="D35:N35" si="6">SUM(D36:D42)</f>
        <v>23400</v>
      </c>
      <c r="E35" s="150">
        <f t="shared" si="6"/>
        <v>127420</v>
      </c>
      <c r="F35" s="150">
        <f t="shared" si="6"/>
        <v>624573</v>
      </c>
      <c r="G35" s="150">
        <f t="shared" si="6"/>
        <v>480808</v>
      </c>
      <c r="H35" s="150">
        <f t="shared" si="6"/>
        <v>0</v>
      </c>
      <c r="I35" s="150">
        <f t="shared" si="6"/>
        <v>0</v>
      </c>
      <c r="J35" s="150">
        <f t="shared" si="6"/>
        <v>0</v>
      </c>
      <c r="K35" s="150">
        <f t="shared" si="6"/>
        <v>0</v>
      </c>
      <c r="L35" s="150">
        <f t="shared" si="6"/>
        <v>0</v>
      </c>
      <c r="M35" s="150">
        <f t="shared" si="6"/>
        <v>0</v>
      </c>
      <c r="N35" s="150">
        <f t="shared" si="6"/>
        <v>0</v>
      </c>
    </row>
    <row r="36" spans="1:14" ht="30" x14ac:dyDescent="0.25">
      <c r="A36" s="146" t="s">
        <v>488</v>
      </c>
      <c r="B36" s="149">
        <f>SUM(C36:N36)</f>
        <v>1393167.7</v>
      </c>
      <c r="C36" s="145">
        <v>136966.70000000001</v>
      </c>
      <c r="D36" s="145">
        <v>23400</v>
      </c>
      <c r="E36" s="145">
        <v>127420</v>
      </c>
      <c r="F36" s="145">
        <v>624573</v>
      </c>
      <c r="G36" s="145">
        <v>480808</v>
      </c>
      <c r="H36" s="145"/>
      <c r="I36" s="145"/>
      <c r="J36" s="145"/>
      <c r="K36" s="145"/>
      <c r="L36" s="145"/>
      <c r="M36" s="145"/>
      <c r="N36" s="145"/>
    </row>
    <row r="37" spans="1:14" ht="30" x14ac:dyDescent="0.25">
      <c r="A37" s="146" t="s">
        <v>487</v>
      </c>
      <c r="B37" s="149">
        <f t="shared" ref="B37:B42" si="7">SUM(C37:N37)</f>
        <v>0</v>
      </c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</row>
    <row r="38" spans="1:14" ht="30" x14ac:dyDescent="0.25">
      <c r="A38" s="146" t="s">
        <v>486</v>
      </c>
      <c r="B38" s="149">
        <f t="shared" si="7"/>
        <v>0</v>
      </c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</row>
    <row r="39" spans="1:14" ht="30" x14ac:dyDescent="0.25">
      <c r="A39" s="146" t="s">
        <v>485</v>
      </c>
      <c r="B39" s="149">
        <f t="shared" si="7"/>
        <v>0</v>
      </c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</row>
    <row r="40" spans="1:14" ht="30" x14ac:dyDescent="0.25">
      <c r="A40" s="146" t="s">
        <v>484</v>
      </c>
      <c r="B40" s="149">
        <f t="shared" si="7"/>
        <v>0</v>
      </c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</row>
    <row r="41" spans="1:14" ht="30" x14ac:dyDescent="0.25">
      <c r="A41" s="146" t="s">
        <v>483</v>
      </c>
      <c r="B41" s="149">
        <f t="shared" si="7"/>
        <v>0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</row>
    <row r="42" spans="1:14" ht="30" x14ac:dyDescent="0.25">
      <c r="A42" s="146" t="s">
        <v>482</v>
      </c>
      <c r="B42" s="149">
        <f t="shared" si="7"/>
        <v>0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</row>
    <row r="43" spans="1:14" x14ac:dyDescent="0.25">
      <c r="A43" s="152" t="s">
        <v>481</v>
      </c>
      <c r="B43" s="151">
        <f>SUM(C43:N43)</f>
        <v>0</v>
      </c>
      <c r="C43" s="150">
        <f>SUM(C44:C50)</f>
        <v>0</v>
      </c>
      <c r="D43" s="150">
        <f t="shared" ref="D43:N43" si="8">SUM(D44:D50)</f>
        <v>0</v>
      </c>
      <c r="E43" s="150">
        <f t="shared" si="8"/>
        <v>0</v>
      </c>
      <c r="F43" s="150">
        <f t="shared" si="8"/>
        <v>0</v>
      </c>
      <c r="G43" s="150">
        <f t="shared" si="8"/>
        <v>0</v>
      </c>
      <c r="H43" s="150">
        <f t="shared" si="8"/>
        <v>0</v>
      </c>
      <c r="I43" s="150">
        <f t="shared" si="8"/>
        <v>0</v>
      </c>
      <c r="J43" s="150">
        <f t="shared" si="8"/>
        <v>0</v>
      </c>
      <c r="K43" s="150">
        <f t="shared" si="8"/>
        <v>0</v>
      </c>
      <c r="L43" s="150">
        <f t="shared" si="8"/>
        <v>0</v>
      </c>
      <c r="M43" s="150">
        <f t="shared" si="8"/>
        <v>0</v>
      </c>
      <c r="N43" s="150">
        <f t="shared" si="8"/>
        <v>0</v>
      </c>
    </row>
    <row r="44" spans="1:14" ht="30" x14ac:dyDescent="0.25">
      <c r="A44" s="146" t="s">
        <v>480</v>
      </c>
      <c r="B44" s="149">
        <f t="shared" ref="B44:B49" si="9">SUM(C44:N44)</f>
        <v>0</v>
      </c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</row>
    <row r="45" spans="1:14" ht="30" x14ac:dyDescent="0.25">
      <c r="A45" s="146" t="s">
        <v>479</v>
      </c>
      <c r="B45" s="149">
        <f t="shared" si="9"/>
        <v>0</v>
      </c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</row>
    <row r="46" spans="1:14" ht="30" x14ac:dyDescent="0.25">
      <c r="A46" s="146" t="s">
        <v>478</v>
      </c>
      <c r="B46" s="149">
        <f t="shared" si="9"/>
        <v>0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</row>
    <row r="47" spans="1:14" ht="30" x14ac:dyDescent="0.25">
      <c r="A47" s="146" t="s">
        <v>477</v>
      </c>
      <c r="B47" s="149">
        <f t="shared" si="9"/>
        <v>0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</row>
    <row r="48" spans="1:14" ht="30" x14ac:dyDescent="0.25">
      <c r="A48" s="146" t="s">
        <v>476</v>
      </c>
      <c r="B48" s="149">
        <f t="shared" si="9"/>
        <v>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</row>
    <row r="49" spans="1:14" ht="30" x14ac:dyDescent="0.25">
      <c r="A49" s="146" t="s">
        <v>475</v>
      </c>
      <c r="B49" s="149">
        <f t="shared" si="9"/>
        <v>0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</row>
    <row r="50" spans="1:14" ht="30" x14ac:dyDescent="0.25">
      <c r="A50" s="146" t="s">
        <v>474</v>
      </c>
      <c r="B50" s="149">
        <f>SUM(C50:N50)</f>
        <v>0</v>
      </c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</row>
    <row r="51" spans="1:14" ht="30" x14ac:dyDescent="0.25">
      <c r="A51" s="152" t="s">
        <v>473</v>
      </c>
      <c r="B51" s="151">
        <f>SUM(C51:N51)</f>
        <v>9003086.4000000004</v>
      </c>
      <c r="C51" s="150">
        <f>SUM(C52:C60)</f>
        <v>887994.84</v>
      </c>
      <c r="D51" s="150">
        <f t="shared" ref="D51:N51" si="10">SUM(D52:D60)</f>
        <v>3887510</v>
      </c>
      <c r="E51" s="150">
        <f t="shared" si="10"/>
        <v>300539.37</v>
      </c>
      <c r="F51" s="150">
        <f t="shared" si="10"/>
        <v>0</v>
      </c>
      <c r="G51" s="150">
        <f t="shared" si="10"/>
        <v>3927042.19</v>
      </c>
      <c r="H51" s="150">
        <f t="shared" si="10"/>
        <v>0</v>
      </c>
      <c r="I51" s="150">
        <f t="shared" si="10"/>
        <v>0</v>
      </c>
      <c r="J51" s="150">
        <f t="shared" si="10"/>
        <v>0</v>
      </c>
      <c r="K51" s="150">
        <f t="shared" si="10"/>
        <v>0</v>
      </c>
      <c r="L51" s="150">
        <f t="shared" si="10"/>
        <v>0</v>
      </c>
      <c r="M51" s="150">
        <f t="shared" si="10"/>
        <v>0</v>
      </c>
      <c r="N51" s="150">
        <f t="shared" si="10"/>
        <v>0</v>
      </c>
    </row>
    <row r="52" spans="1:14" x14ac:dyDescent="0.25">
      <c r="A52" s="146" t="s">
        <v>472</v>
      </c>
      <c r="B52" s="149">
        <f t="shared" ref="B52:B60" si="11">SUM(C52:N52)</f>
        <v>0</v>
      </c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</row>
    <row r="53" spans="1:14" ht="30" x14ac:dyDescent="0.25">
      <c r="A53" s="146" t="s">
        <v>471</v>
      </c>
      <c r="B53" s="149">
        <f t="shared" si="11"/>
        <v>0</v>
      </c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</row>
    <row r="54" spans="1:14" ht="30" x14ac:dyDescent="0.25">
      <c r="A54" s="146" t="s">
        <v>470</v>
      </c>
      <c r="B54" s="149">
        <f t="shared" si="11"/>
        <v>6890067.0299999993</v>
      </c>
      <c r="C54" s="145">
        <v>887994.84</v>
      </c>
      <c r="D54" s="145">
        <v>2075030</v>
      </c>
      <c r="E54" s="145"/>
      <c r="F54" s="145"/>
      <c r="G54" s="145">
        <v>3927042.19</v>
      </c>
      <c r="H54" s="145"/>
      <c r="I54" s="145"/>
      <c r="J54" s="145"/>
      <c r="K54" s="145"/>
      <c r="L54" s="145"/>
      <c r="M54" s="145"/>
      <c r="N54" s="145"/>
    </row>
    <row r="55" spans="1:14" ht="30" x14ac:dyDescent="0.25">
      <c r="A55" s="146" t="s">
        <v>469</v>
      </c>
      <c r="B55" s="149">
        <f t="shared" si="11"/>
        <v>107609.37</v>
      </c>
      <c r="C55" s="145"/>
      <c r="D55" s="145"/>
      <c r="E55" s="145">
        <v>107609.37</v>
      </c>
      <c r="F55" s="145"/>
      <c r="G55" s="145"/>
      <c r="H55" s="145"/>
      <c r="I55" s="145"/>
      <c r="J55" s="145"/>
      <c r="K55" s="145"/>
      <c r="L55" s="145"/>
      <c r="M55" s="145"/>
      <c r="N55" s="145"/>
    </row>
    <row r="56" spans="1:14" ht="30" x14ac:dyDescent="0.25">
      <c r="A56" s="146" t="s">
        <v>468</v>
      </c>
      <c r="B56" s="149">
        <f t="shared" si="11"/>
        <v>2005410</v>
      </c>
      <c r="C56" s="145"/>
      <c r="D56" s="145">
        <v>1812480</v>
      </c>
      <c r="E56" s="145">
        <v>192930</v>
      </c>
      <c r="F56" s="145"/>
      <c r="G56" s="145"/>
      <c r="H56" s="145"/>
      <c r="I56" s="145"/>
      <c r="J56" s="145"/>
      <c r="K56" s="145"/>
      <c r="L56" s="145"/>
      <c r="M56" s="145"/>
      <c r="N56" s="145"/>
    </row>
    <row r="57" spans="1:14" x14ac:dyDescent="0.25">
      <c r="A57" s="146" t="s">
        <v>467</v>
      </c>
      <c r="B57" s="149">
        <f>SUM(C57:N57)</f>
        <v>0</v>
      </c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</row>
    <row r="58" spans="1:14" x14ac:dyDescent="0.25">
      <c r="A58" s="146" t="s">
        <v>466</v>
      </c>
      <c r="B58" s="149">
        <f t="shared" si="11"/>
        <v>0</v>
      </c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</row>
    <row r="59" spans="1:14" x14ac:dyDescent="0.25">
      <c r="A59" s="146" t="s">
        <v>465</v>
      </c>
      <c r="B59" s="149">
        <f t="shared" si="11"/>
        <v>0</v>
      </c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</row>
    <row r="60" spans="1:14" ht="30" x14ac:dyDescent="0.25">
      <c r="A60" s="146" t="s">
        <v>464</v>
      </c>
      <c r="B60" s="149">
        <f t="shared" si="11"/>
        <v>0</v>
      </c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</row>
    <row r="61" spans="1:14" x14ac:dyDescent="0.25">
      <c r="A61" s="152" t="s">
        <v>463</v>
      </c>
      <c r="B61" s="151">
        <f>SUM(C61:N61)</f>
        <v>0</v>
      </c>
      <c r="C61" s="150">
        <f>SUM(C62:C65)</f>
        <v>0</v>
      </c>
      <c r="D61" s="150">
        <f t="shared" ref="D61:N61" si="12">SUM(D62:D65)</f>
        <v>0</v>
      </c>
      <c r="E61" s="150">
        <f t="shared" si="12"/>
        <v>0</v>
      </c>
      <c r="F61" s="150">
        <f t="shared" si="12"/>
        <v>0</v>
      </c>
      <c r="G61" s="150">
        <f t="shared" si="12"/>
        <v>0</v>
      </c>
      <c r="H61" s="150">
        <f t="shared" si="12"/>
        <v>0</v>
      </c>
      <c r="I61" s="150">
        <f t="shared" si="12"/>
        <v>0</v>
      </c>
      <c r="J61" s="150">
        <f t="shared" si="12"/>
        <v>0</v>
      </c>
      <c r="K61" s="150">
        <f t="shared" si="12"/>
        <v>0</v>
      </c>
      <c r="L61" s="150">
        <f t="shared" si="12"/>
        <v>0</v>
      </c>
      <c r="M61" s="150">
        <f t="shared" si="12"/>
        <v>0</v>
      </c>
      <c r="N61" s="150">
        <f t="shared" si="12"/>
        <v>0</v>
      </c>
    </row>
    <row r="62" spans="1:14" x14ac:dyDescent="0.25">
      <c r="A62" s="146" t="s">
        <v>462</v>
      </c>
      <c r="B62" s="149">
        <f t="shared" ref="B62:B65" si="13">SUM(C62:N62)</f>
        <v>0</v>
      </c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</row>
    <row r="63" spans="1:14" x14ac:dyDescent="0.25">
      <c r="A63" s="146" t="s">
        <v>461</v>
      </c>
      <c r="B63" s="149">
        <f t="shared" si="13"/>
        <v>0</v>
      </c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</row>
    <row r="64" spans="1:14" ht="30" x14ac:dyDescent="0.25">
      <c r="A64" s="146" t="s">
        <v>460</v>
      </c>
      <c r="B64" s="149">
        <f t="shared" si="13"/>
        <v>0</v>
      </c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</row>
    <row r="65" spans="1:14" ht="45" x14ac:dyDescent="0.25">
      <c r="A65" s="146" t="s">
        <v>459</v>
      </c>
      <c r="B65" s="149">
        <f t="shared" si="13"/>
        <v>0</v>
      </c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</row>
    <row r="66" spans="1:14" ht="30" x14ac:dyDescent="0.25">
      <c r="A66" s="152" t="s">
        <v>458</v>
      </c>
      <c r="B66" s="151">
        <f>SUM(C66:N66)</f>
        <v>0</v>
      </c>
      <c r="C66" s="150">
        <f>SUM(C67:C68)</f>
        <v>0</v>
      </c>
      <c r="D66" s="150">
        <f t="shared" ref="D66:N66" si="14">SUM(D67:D68)</f>
        <v>0</v>
      </c>
      <c r="E66" s="150">
        <f t="shared" si="14"/>
        <v>0</v>
      </c>
      <c r="F66" s="150">
        <f t="shared" si="14"/>
        <v>0</v>
      </c>
      <c r="G66" s="150">
        <f t="shared" si="14"/>
        <v>0</v>
      </c>
      <c r="H66" s="150">
        <f t="shared" si="14"/>
        <v>0</v>
      </c>
      <c r="I66" s="150">
        <f t="shared" si="14"/>
        <v>0</v>
      </c>
      <c r="J66" s="150">
        <f t="shared" si="14"/>
        <v>0</v>
      </c>
      <c r="K66" s="150">
        <f t="shared" si="14"/>
        <v>0</v>
      </c>
      <c r="L66" s="150">
        <f t="shared" si="14"/>
        <v>0</v>
      </c>
      <c r="M66" s="150">
        <f t="shared" si="14"/>
        <v>0</v>
      </c>
      <c r="N66" s="150">
        <f t="shared" si="14"/>
        <v>0</v>
      </c>
    </row>
    <row r="67" spans="1:14" x14ac:dyDescent="0.25">
      <c r="A67" s="146" t="s">
        <v>457</v>
      </c>
      <c r="B67" s="149">
        <f t="shared" ref="B67:B68" si="15">SUM(C67:N67)</f>
        <v>0</v>
      </c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</row>
    <row r="68" spans="1:14" ht="30" x14ac:dyDescent="0.25">
      <c r="A68" s="146" t="s">
        <v>456</v>
      </c>
      <c r="B68" s="149">
        <f t="shared" si="15"/>
        <v>0</v>
      </c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</row>
    <row r="69" spans="1:14" x14ac:dyDescent="0.25">
      <c r="A69" s="152" t="s">
        <v>455</v>
      </c>
      <c r="B69" s="151">
        <f>SUM(C69:N69)</f>
        <v>0</v>
      </c>
      <c r="C69" s="150">
        <f>SUM(C70:C72)</f>
        <v>0</v>
      </c>
      <c r="D69" s="150">
        <f t="shared" ref="D69:N69" si="16">SUM(D70:D72)</f>
        <v>0</v>
      </c>
      <c r="E69" s="150">
        <f t="shared" si="16"/>
        <v>0</v>
      </c>
      <c r="F69" s="150">
        <f t="shared" si="16"/>
        <v>0</v>
      </c>
      <c r="G69" s="150">
        <f t="shared" si="16"/>
        <v>0</v>
      </c>
      <c r="H69" s="150">
        <f t="shared" si="16"/>
        <v>0</v>
      </c>
      <c r="I69" s="150">
        <f t="shared" si="16"/>
        <v>0</v>
      </c>
      <c r="J69" s="150">
        <f t="shared" si="16"/>
        <v>0</v>
      </c>
      <c r="K69" s="150">
        <f t="shared" si="16"/>
        <v>0</v>
      </c>
      <c r="L69" s="150">
        <f t="shared" si="16"/>
        <v>0</v>
      </c>
      <c r="M69" s="150">
        <f t="shared" si="16"/>
        <v>0</v>
      </c>
      <c r="N69" s="150">
        <f t="shared" si="16"/>
        <v>0</v>
      </c>
    </row>
    <row r="70" spans="1:14" ht="30" x14ac:dyDescent="0.25">
      <c r="A70" s="146" t="s">
        <v>454</v>
      </c>
      <c r="B70" s="149">
        <f t="shared" ref="B70:B72" si="17">SUM(C70:N70)</f>
        <v>0</v>
      </c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</row>
    <row r="71" spans="1:14" ht="30" x14ac:dyDescent="0.25">
      <c r="A71" s="146" t="s">
        <v>453</v>
      </c>
      <c r="B71" s="149">
        <f t="shared" si="17"/>
        <v>0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</row>
    <row r="72" spans="1:14" ht="30" x14ac:dyDescent="0.25">
      <c r="A72" s="146" t="s">
        <v>452</v>
      </c>
      <c r="B72" s="149">
        <f t="shared" si="17"/>
        <v>0</v>
      </c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</row>
    <row r="73" spans="1:14" x14ac:dyDescent="0.25">
      <c r="A73" s="144" t="s">
        <v>451</v>
      </c>
      <c r="B73" s="143">
        <f>B9+B15+B25+B35+B43+B51+B61+B66+B69</f>
        <v>40080980.309999995</v>
      </c>
      <c r="C73" s="143">
        <f t="shared" ref="C73:N73" si="18">C9+C15+C25+C35+C43+C51+C61+C66+C69</f>
        <v>6821436.4900000002</v>
      </c>
      <c r="D73" s="143">
        <f t="shared" si="18"/>
        <v>7556671.6400000006</v>
      </c>
      <c r="E73" s="143">
        <f t="shared" si="18"/>
        <v>11816507.499999998</v>
      </c>
      <c r="F73" s="143">
        <f t="shared" si="18"/>
        <v>4877050.2899999991</v>
      </c>
      <c r="G73" s="143">
        <f t="shared" si="18"/>
        <v>9009314.3900000006</v>
      </c>
      <c r="H73" s="143">
        <f t="shared" si="18"/>
        <v>0</v>
      </c>
      <c r="I73" s="143">
        <f t="shared" si="18"/>
        <v>0</v>
      </c>
      <c r="J73" s="143">
        <f t="shared" si="18"/>
        <v>0</v>
      </c>
      <c r="K73" s="143">
        <f t="shared" si="18"/>
        <v>0</v>
      </c>
      <c r="L73" s="143">
        <f t="shared" si="18"/>
        <v>0</v>
      </c>
      <c r="M73" s="143">
        <f t="shared" si="18"/>
        <v>0</v>
      </c>
      <c r="N73" s="143">
        <f t="shared" si="18"/>
        <v>0</v>
      </c>
    </row>
    <row r="74" spans="1:14" x14ac:dyDescent="0.25">
      <c r="A74" s="148" t="s">
        <v>450</v>
      </c>
      <c r="B74" s="147"/>
      <c r="C74" s="147"/>
      <c r="D74" s="147"/>
      <c r="E74" s="156"/>
      <c r="F74" s="156"/>
      <c r="G74" s="156"/>
      <c r="H74" s="156"/>
      <c r="I74" s="156"/>
      <c r="J74" s="156"/>
      <c r="K74" s="156"/>
      <c r="L74" s="156"/>
      <c r="M74" s="156"/>
      <c r="N74" s="156"/>
    </row>
    <row r="75" spans="1:14" x14ac:dyDescent="0.25">
      <c r="A75" s="148" t="s">
        <v>449</v>
      </c>
      <c r="B75" s="125"/>
      <c r="C75" s="147"/>
      <c r="D75" s="125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30" x14ac:dyDescent="0.25">
      <c r="A76" s="146" t="s">
        <v>448</v>
      </c>
      <c r="B76" s="125"/>
      <c r="C76" s="145"/>
      <c r="D76" s="125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30" x14ac:dyDescent="0.25">
      <c r="A77" s="146" t="s">
        <v>447</v>
      </c>
      <c r="B77" s="125"/>
      <c r="C77" s="145"/>
      <c r="D77" s="125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48" t="s">
        <v>446</v>
      </c>
      <c r="B78" s="125"/>
      <c r="C78" s="147"/>
      <c r="D78" s="125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46" t="s">
        <v>445</v>
      </c>
      <c r="B79" s="125"/>
      <c r="C79" s="145"/>
      <c r="D79" s="125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30" x14ac:dyDescent="0.25">
      <c r="A80" s="146" t="s">
        <v>444</v>
      </c>
      <c r="B80" s="125"/>
      <c r="C80" s="145"/>
      <c r="D80" s="125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48" t="s">
        <v>443</v>
      </c>
      <c r="B81" s="125"/>
      <c r="C81" s="147"/>
      <c r="D81" s="125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30" x14ac:dyDescent="0.25">
      <c r="A82" s="146" t="s">
        <v>442</v>
      </c>
      <c r="B82" s="125"/>
      <c r="C82" s="145"/>
      <c r="D82" s="125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44" t="s">
        <v>441</v>
      </c>
      <c r="B83" s="143"/>
      <c r="C83" s="143"/>
      <c r="D83" s="143"/>
      <c r="E83" s="157"/>
      <c r="F83" s="157"/>
      <c r="G83" s="157"/>
      <c r="H83" s="157"/>
      <c r="I83" s="157"/>
      <c r="J83" s="157"/>
      <c r="K83" s="157"/>
      <c r="L83" s="157"/>
      <c r="M83" s="157"/>
      <c r="N83" s="157"/>
    </row>
    <row r="84" spans="1:14" x14ac:dyDescent="0.25">
      <c r="A84" s="1"/>
      <c r="B84" s="125"/>
      <c r="C84" s="125"/>
      <c r="D84" s="125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31.5" x14ac:dyDescent="0.25">
      <c r="A85" s="142" t="s">
        <v>440</v>
      </c>
      <c r="B85" s="141">
        <f t="shared" ref="B85:C85" si="19">+B83+B73</f>
        <v>40080980.309999995</v>
      </c>
      <c r="C85" s="141">
        <f t="shared" si="19"/>
        <v>6821436.4900000002</v>
      </c>
      <c r="D85" s="141">
        <f>+D83+D73</f>
        <v>7556671.6400000006</v>
      </c>
      <c r="E85" s="141">
        <f>+E83+E73</f>
        <v>11816507.499999998</v>
      </c>
      <c r="F85" s="141">
        <f>+F83+F73</f>
        <v>4877050.2899999991</v>
      </c>
      <c r="G85" s="141">
        <f>+G83+G73</f>
        <v>9009314.3900000006</v>
      </c>
      <c r="H85" s="158"/>
      <c r="I85" s="158"/>
      <c r="J85" s="158"/>
      <c r="K85" s="158"/>
      <c r="L85" s="158"/>
      <c r="M85" s="158"/>
      <c r="N85" s="158"/>
    </row>
    <row r="86" spans="1:14" x14ac:dyDescent="0.25">
      <c r="A86" t="s">
        <v>439</v>
      </c>
    </row>
    <row r="87" spans="1:14" x14ac:dyDescent="0.25">
      <c r="A87" t="s">
        <v>438</v>
      </c>
      <c r="E87" s="226"/>
    </row>
    <row r="88" spans="1:14" x14ac:dyDescent="0.25">
      <c r="A88" t="s">
        <v>437</v>
      </c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29"/>
  <sheetViews>
    <sheetView topLeftCell="A5" zoomScale="90" zoomScaleNormal="90" workbookViewId="0">
      <selection activeCell="E14" sqref="E14"/>
    </sheetView>
  </sheetViews>
  <sheetFormatPr baseColWidth="10" defaultRowHeight="15" x14ac:dyDescent="0.25"/>
  <cols>
    <col min="1" max="1" width="5.42578125" customWidth="1"/>
    <col min="2" max="2" width="61.5703125" customWidth="1"/>
    <col min="3" max="3" width="30.85546875" customWidth="1"/>
    <col min="4" max="4" width="12.5703125" bestFit="1" customWidth="1"/>
    <col min="5" max="5" width="20.85546875" bestFit="1" customWidth="1"/>
    <col min="6" max="6" width="23.28515625" customWidth="1"/>
    <col min="7" max="7" width="15.42578125" customWidth="1"/>
    <col min="8" max="8" width="16.85546875" customWidth="1"/>
    <col min="9" max="9" width="14.85546875" bestFit="1" customWidth="1"/>
  </cols>
  <sheetData>
    <row r="4" spans="2:9" ht="18.75" x14ac:dyDescent="0.3">
      <c r="B4" s="407" t="s">
        <v>541</v>
      </c>
      <c r="C4" s="407"/>
      <c r="D4" s="407"/>
      <c r="E4" s="407"/>
      <c r="F4" s="407"/>
      <c r="G4" s="407"/>
      <c r="H4" s="407"/>
    </row>
    <row r="5" spans="2:9" ht="18.75" x14ac:dyDescent="0.3">
      <c r="B5" s="407" t="s">
        <v>666</v>
      </c>
      <c r="C5" s="407"/>
      <c r="D5" s="407"/>
      <c r="E5" s="407"/>
      <c r="F5" s="407"/>
      <c r="G5" s="407"/>
      <c r="H5" s="407"/>
    </row>
    <row r="6" spans="2:9" ht="18.75" x14ac:dyDescent="0.3">
      <c r="B6" s="407" t="s">
        <v>981</v>
      </c>
      <c r="C6" s="407"/>
      <c r="D6" s="407"/>
      <c r="E6" s="407"/>
      <c r="F6" s="407"/>
      <c r="G6" s="407"/>
      <c r="H6" s="407"/>
    </row>
    <row r="7" spans="2:9" ht="19.5" thickBot="1" x14ac:dyDescent="0.35">
      <c r="B7" s="475" t="s">
        <v>665</v>
      </c>
      <c r="C7" s="475"/>
      <c r="D7" s="475"/>
      <c r="E7" s="475"/>
      <c r="F7" s="475"/>
      <c r="G7" s="475"/>
      <c r="H7" s="475"/>
    </row>
    <row r="8" spans="2:9" ht="15.75" x14ac:dyDescent="0.25">
      <c r="B8" s="169" t="s">
        <v>542</v>
      </c>
      <c r="C8" s="476" t="s">
        <v>543</v>
      </c>
      <c r="D8" s="477"/>
      <c r="E8" s="295" t="s">
        <v>544</v>
      </c>
      <c r="F8" s="296" t="s">
        <v>545</v>
      </c>
      <c r="G8" s="297" t="s">
        <v>546</v>
      </c>
      <c r="H8" s="298" t="s">
        <v>547</v>
      </c>
    </row>
    <row r="9" spans="2:9" ht="15.75" x14ac:dyDescent="0.25">
      <c r="B9" s="468" t="s">
        <v>436</v>
      </c>
      <c r="C9" s="470" t="s">
        <v>548</v>
      </c>
      <c r="D9" s="471"/>
      <c r="E9" s="299"/>
      <c r="F9" s="472" t="s">
        <v>549</v>
      </c>
      <c r="G9" s="473"/>
      <c r="H9" s="474"/>
    </row>
    <row r="10" spans="2:9" ht="31.5" x14ac:dyDescent="0.25">
      <c r="B10" s="469"/>
      <c r="C10" s="299" t="s">
        <v>550</v>
      </c>
      <c r="D10" s="299" t="s">
        <v>551</v>
      </c>
      <c r="E10" s="299" t="s">
        <v>435</v>
      </c>
      <c r="F10" s="300" t="s">
        <v>552</v>
      </c>
      <c r="G10" s="170" t="s">
        <v>553</v>
      </c>
      <c r="H10" s="171" t="s">
        <v>554</v>
      </c>
    </row>
    <row r="11" spans="2:9" x14ac:dyDescent="0.25">
      <c r="B11" s="173" t="s">
        <v>667</v>
      </c>
      <c r="C11" s="301"/>
      <c r="D11" s="179"/>
      <c r="E11" s="125"/>
      <c r="F11" s="2"/>
      <c r="G11" s="2"/>
      <c r="H11" s="172"/>
    </row>
    <row r="12" spans="2:9" x14ac:dyDescent="0.25">
      <c r="B12" s="173" t="s">
        <v>555</v>
      </c>
      <c r="C12" s="291">
        <v>44470</v>
      </c>
      <c r="D12" s="291">
        <v>45808</v>
      </c>
      <c r="E12" s="125">
        <f>6455721.37+191917.63+545919.42+146780.59+231604.06+289366.65+335354.64+387110.47+660164.03+254405.37+295100.71+268154.84+476725.77+301006.83+418780.67+471731.75+276884.63+183994.68+296760.59</f>
        <v>12487484.699999999</v>
      </c>
      <c r="F12" s="2"/>
      <c r="G12" s="2"/>
      <c r="H12" s="172"/>
      <c r="I12" s="186"/>
    </row>
    <row r="13" spans="2:9" x14ac:dyDescent="0.25">
      <c r="B13" s="173" t="s">
        <v>556</v>
      </c>
      <c r="C13" s="291">
        <v>45505</v>
      </c>
      <c r="D13" s="291">
        <v>45808</v>
      </c>
      <c r="E13" s="302">
        <f>4432093.625+933892.46+332731.24+782528.07-5231553.59+751870.91</f>
        <v>2001562.7150000008</v>
      </c>
      <c r="F13" s="303"/>
      <c r="G13" s="2"/>
      <c r="H13" s="172"/>
      <c r="I13" s="186"/>
    </row>
    <row r="14" spans="2:9" x14ac:dyDescent="0.25">
      <c r="B14" s="173" t="s">
        <v>557</v>
      </c>
      <c r="C14" s="179"/>
      <c r="D14" s="179"/>
      <c r="E14" s="302"/>
      <c r="F14" s="2"/>
      <c r="G14" s="2"/>
      <c r="H14" s="172"/>
      <c r="I14" s="186"/>
    </row>
    <row r="15" spans="2:9" x14ac:dyDescent="0.25">
      <c r="B15" s="173" t="s">
        <v>558</v>
      </c>
      <c r="C15" s="179"/>
      <c r="D15" s="179"/>
      <c r="E15" s="302"/>
      <c r="F15" s="304"/>
      <c r="G15" s="2"/>
      <c r="H15" s="172"/>
    </row>
    <row r="16" spans="2:9" x14ac:dyDescent="0.25">
      <c r="B16" s="173" t="s">
        <v>559</v>
      </c>
      <c r="C16" s="179"/>
      <c r="D16" s="291"/>
      <c r="E16" s="302"/>
      <c r="F16" s="2"/>
      <c r="G16" s="2"/>
      <c r="H16" s="172"/>
    </row>
    <row r="17" spans="2:8" x14ac:dyDescent="0.25">
      <c r="B17" s="173" t="s">
        <v>560</v>
      </c>
      <c r="C17" s="179"/>
      <c r="D17" s="179"/>
      <c r="E17" s="302"/>
      <c r="F17" s="2"/>
      <c r="G17" s="2"/>
      <c r="H17" s="172"/>
    </row>
    <row r="18" spans="2:8" x14ac:dyDescent="0.25">
      <c r="B18" s="173" t="s">
        <v>561</v>
      </c>
      <c r="C18" s="1"/>
      <c r="D18" s="1"/>
      <c r="E18" s="1"/>
      <c r="F18" s="1"/>
      <c r="G18" s="1"/>
      <c r="H18" s="174"/>
    </row>
    <row r="19" spans="2:8" ht="15.75" thickBot="1" x14ac:dyDescent="0.3">
      <c r="B19" s="305" t="s">
        <v>328</v>
      </c>
      <c r="C19" s="306"/>
      <c r="D19" s="306"/>
      <c r="E19" s="307">
        <f>SUM(E12:E18)+E11</f>
        <v>14489047.414999999</v>
      </c>
      <c r="F19" s="307"/>
      <c r="G19" s="307"/>
      <c r="H19" s="308"/>
    </row>
    <row r="20" spans="2:8" ht="18" customHeight="1" x14ac:dyDescent="0.25"/>
    <row r="21" spans="2:8" ht="15.75" x14ac:dyDescent="0.25">
      <c r="B21" s="175" t="s">
        <v>562</v>
      </c>
    </row>
    <row r="23" spans="2:8" x14ac:dyDescent="0.25">
      <c r="F23" s="186"/>
    </row>
    <row r="25" spans="2:8" x14ac:dyDescent="0.25">
      <c r="B25" s="399" t="s">
        <v>563</v>
      </c>
      <c r="C25" s="399"/>
      <c r="E25" s="399" t="s">
        <v>564</v>
      </c>
      <c r="F25" s="399"/>
      <c r="G25" s="399"/>
      <c r="H25" s="399"/>
    </row>
    <row r="28" spans="2:8" x14ac:dyDescent="0.25">
      <c r="B28" s="478"/>
      <c r="C28" s="478"/>
      <c r="E28" s="478"/>
      <c r="F28" s="478"/>
      <c r="G28" s="478"/>
      <c r="H28" s="478"/>
    </row>
    <row r="29" spans="2:8" x14ac:dyDescent="0.25">
      <c r="B29" s="479"/>
      <c r="C29" s="479"/>
      <c r="E29" s="479"/>
      <c r="F29" s="479"/>
    </row>
  </sheetData>
  <mergeCells count="14">
    <mergeCell ref="B25:C25"/>
    <mergeCell ref="E25:H25"/>
    <mergeCell ref="B28:C28"/>
    <mergeCell ref="E28:H28"/>
    <mergeCell ref="B29:C29"/>
    <mergeCell ref="E29:F29"/>
    <mergeCell ref="B9:B10"/>
    <mergeCell ref="C9:D9"/>
    <mergeCell ref="F9:H9"/>
    <mergeCell ref="B4:H4"/>
    <mergeCell ref="B5:H5"/>
    <mergeCell ref="B6:H6"/>
    <mergeCell ref="B7:H7"/>
    <mergeCell ref="C8:D8"/>
  </mergeCells>
  <pageMargins left="0.7" right="0.7" top="0.75" bottom="0.75" header="0.3" footer="0.3"/>
  <pageSetup scale="65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6"/>
  <sheetViews>
    <sheetView view="pageBreakPreview" topLeftCell="A16" zoomScale="64" zoomScaleNormal="100" zoomScaleSheetLayoutView="64" workbookViewId="0">
      <selection activeCell="F34" sqref="F34:G37"/>
    </sheetView>
  </sheetViews>
  <sheetFormatPr baseColWidth="10" defaultRowHeight="15" x14ac:dyDescent="0.25"/>
  <cols>
    <col min="1" max="1" width="23.140625" bestFit="1" customWidth="1"/>
    <col min="2" max="2" width="71.140625" bestFit="1" customWidth="1"/>
    <col min="3" max="3" width="25.85546875" bestFit="1" customWidth="1"/>
    <col min="4" max="4" width="20.140625" customWidth="1"/>
    <col min="5" max="5" width="25.85546875" style="186" customWidth="1"/>
    <col min="6" max="6" width="13.140625" style="186" bestFit="1" customWidth="1"/>
    <col min="7" max="7" width="12.42578125" style="186" bestFit="1" customWidth="1"/>
  </cols>
  <sheetData>
    <row r="3" spans="1:7" ht="23.25" x14ac:dyDescent="0.35">
      <c r="A3" s="490" t="s">
        <v>565</v>
      </c>
      <c r="B3" s="490"/>
      <c r="C3" s="490"/>
      <c r="D3" s="490"/>
      <c r="E3" s="490"/>
    </row>
    <row r="4" spans="1:7" ht="18.75" x14ac:dyDescent="0.3">
      <c r="A4" s="407" t="s">
        <v>566</v>
      </c>
      <c r="B4" s="407"/>
      <c r="C4" s="407"/>
      <c r="D4" s="407"/>
      <c r="E4" s="407"/>
    </row>
    <row r="5" spans="1:7" ht="18.75" x14ac:dyDescent="0.3">
      <c r="A5" s="318"/>
      <c r="B5" s="318"/>
      <c r="C5" s="318"/>
      <c r="D5" s="318"/>
      <c r="E5" s="284"/>
    </row>
    <row r="6" spans="1:7" x14ac:dyDescent="0.25">
      <c r="A6" s="491" t="s">
        <v>567</v>
      </c>
      <c r="B6" s="491"/>
      <c r="C6" s="491"/>
      <c r="D6" s="491"/>
      <c r="E6" s="491"/>
    </row>
    <row r="7" spans="1:7" ht="15.75" thickBot="1" x14ac:dyDescent="0.3">
      <c r="A7" s="492" t="s">
        <v>983</v>
      </c>
      <c r="B7" s="492"/>
      <c r="C7" s="492"/>
      <c r="D7" s="492"/>
      <c r="E7" s="492"/>
    </row>
    <row r="8" spans="1:7" ht="30" x14ac:dyDescent="0.25">
      <c r="A8" s="176" t="s">
        <v>713</v>
      </c>
      <c r="B8" s="177" t="s">
        <v>568</v>
      </c>
      <c r="C8" s="177" t="s">
        <v>569</v>
      </c>
      <c r="D8" s="178" t="s">
        <v>570</v>
      </c>
      <c r="E8" s="285" t="s">
        <v>703</v>
      </c>
    </row>
    <row r="9" spans="1:7" s="132" customFormat="1" x14ac:dyDescent="0.25">
      <c r="A9" s="493" t="s">
        <v>571</v>
      </c>
      <c r="B9" s="282" t="s">
        <v>645</v>
      </c>
      <c r="C9" s="262"/>
      <c r="D9" s="263"/>
      <c r="E9" s="286">
        <f>79621891.83+4931430</f>
        <v>84553321.829999998</v>
      </c>
      <c r="F9" s="348"/>
      <c r="G9" s="348"/>
    </row>
    <row r="10" spans="1:7" x14ac:dyDescent="0.25">
      <c r="A10" s="494"/>
      <c r="B10" s="323" t="s">
        <v>714</v>
      </c>
      <c r="C10" s="324"/>
      <c r="D10" s="325"/>
      <c r="E10" s="333">
        <v>12593841.17</v>
      </c>
    </row>
    <row r="11" spans="1:7" x14ac:dyDescent="0.25">
      <c r="A11" s="495"/>
      <c r="B11" s="323" t="s">
        <v>715</v>
      </c>
      <c r="C11" s="324"/>
      <c r="D11" s="325"/>
      <c r="E11" s="333">
        <v>3169632.08</v>
      </c>
    </row>
    <row r="12" spans="1:7" x14ac:dyDescent="0.25">
      <c r="A12" s="482" t="s">
        <v>572</v>
      </c>
      <c r="B12" s="482"/>
      <c r="C12" s="181"/>
      <c r="D12" s="181"/>
      <c r="E12" s="287">
        <f>SUM(E9:E11)</f>
        <v>100316795.08</v>
      </c>
    </row>
    <row r="13" spans="1:7" x14ac:dyDescent="0.25">
      <c r="A13" s="480"/>
      <c r="B13" s="1" t="s">
        <v>717</v>
      </c>
      <c r="C13" s="291">
        <v>45778</v>
      </c>
      <c r="D13" s="180"/>
      <c r="E13" s="125">
        <v>155606.87</v>
      </c>
    </row>
    <row r="14" spans="1:7" x14ac:dyDescent="0.25">
      <c r="A14" s="480"/>
      <c r="B14" s="1" t="s">
        <v>988</v>
      </c>
      <c r="C14" s="291">
        <v>45783</v>
      </c>
      <c r="D14" s="180"/>
      <c r="E14" s="125">
        <v>3199661.24</v>
      </c>
    </row>
    <row r="15" spans="1:7" x14ac:dyDescent="0.25">
      <c r="A15" s="480"/>
      <c r="B15" s="1" t="s">
        <v>996</v>
      </c>
      <c r="C15" s="291">
        <v>45783</v>
      </c>
      <c r="D15" s="180"/>
      <c r="E15" s="125">
        <v>50000</v>
      </c>
    </row>
    <row r="16" spans="1:7" x14ac:dyDescent="0.25">
      <c r="A16" s="480"/>
      <c r="B16" s="1" t="s">
        <v>618</v>
      </c>
      <c r="C16" s="291">
        <v>45784</v>
      </c>
      <c r="D16" s="180"/>
      <c r="E16" s="125">
        <v>12182.4</v>
      </c>
    </row>
    <row r="17" spans="1:7" s="132" customFormat="1" x14ac:dyDescent="0.25">
      <c r="A17" s="480"/>
      <c r="B17" s="1" t="s">
        <v>719</v>
      </c>
      <c r="C17" s="349">
        <v>45785</v>
      </c>
      <c r="D17" s="263"/>
      <c r="E17" s="286">
        <v>84594.85</v>
      </c>
      <c r="F17" s="348"/>
      <c r="G17" s="348"/>
    </row>
    <row r="18" spans="1:7" x14ac:dyDescent="0.25">
      <c r="A18" s="480"/>
      <c r="B18" s="182" t="s">
        <v>997</v>
      </c>
      <c r="C18" s="291">
        <v>45790</v>
      </c>
      <c r="D18" s="1"/>
      <c r="E18" s="125">
        <v>13000</v>
      </c>
    </row>
    <row r="19" spans="1:7" x14ac:dyDescent="0.25">
      <c r="A19" s="480"/>
      <c r="B19" s="182" t="s">
        <v>992</v>
      </c>
      <c r="C19" s="291">
        <v>45792</v>
      </c>
      <c r="D19" s="1"/>
      <c r="E19" s="125">
        <v>79987.570000000007</v>
      </c>
    </row>
    <row r="20" spans="1:7" x14ac:dyDescent="0.25">
      <c r="A20" s="480"/>
      <c r="B20" s="1" t="s">
        <v>607</v>
      </c>
      <c r="C20" s="291">
        <v>45793</v>
      </c>
      <c r="D20" s="1"/>
      <c r="E20" s="125">
        <v>2588374.06</v>
      </c>
    </row>
    <row r="21" spans="1:7" x14ac:dyDescent="0.25">
      <c r="A21" s="480"/>
      <c r="B21" s="1" t="s">
        <v>734</v>
      </c>
      <c r="C21" s="291">
        <v>45796</v>
      </c>
      <c r="D21" s="1"/>
      <c r="E21" s="125">
        <v>61607.99</v>
      </c>
    </row>
    <row r="22" spans="1:7" x14ac:dyDescent="0.25">
      <c r="A22" s="480"/>
      <c r="B22" s="182" t="s">
        <v>987</v>
      </c>
      <c r="C22" s="291">
        <v>45797</v>
      </c>
      <c r="D22" s="1"/>
      <c r="E22" s="125">
        <v>54068.800000000003</v>
      </c>
    </row>
    <row r="23" spans="1:7" x14ac:dyDescent="0.25">
      <c r="A23" s="480"/>
      <c r="B23" s="182" t="s">
        <v>987</v>
      </c>
      <c r="C23" s="291">
        <v>45797</v>
      </c>
      <c r="D23" s="1"/>
      <c r="E23" s="125">
        <v>12721.54</v>
      </c>
    </row>
    <row r="24" spans="1:7" x14ac:dyDescent="0.25">
      <c r="A24" s="480"/>
      <c r="B24" s="182" t="s">
        <v>987</v>
      </c>
      <c r="C24" s="291">
        <v>45797</v>
      </c>
      <c r="D24" s="1"/>
      <c r="E24" s="337">
        <v>375966.29</v>
      </c>
    </row>
    <row r="25" spans="1:7" x14ac:dyDescent="0.25">
      <c r="A25" s="480"/>
      <c r="B25" s="182" t="s">
        <v>718</v>
      </c>
      <c r="C25" s="291">
        <v>45800</v>
      </c>
      <c r="D25" s="1"/>
      <c r="E25" s="337">
        <v>304098.74</v>
      </c>
    </row>
    <row r="26" spans="1:7" x14ac:dyDescent="0.25">
      <c r="A26" s="480"/>
      <c r="B26" s="182" t="s">
        <v>990</v>
      </c>
      <c r="C26" s="291">
        <v>45805</v>
      </c>
      <c r="D26" s="1"/>
      <c r="E26" s="337">
        <v>32863.839999999997</v>
      </c>
    </row>
    <row r="27" spans="1:7" ht="17.25" customHeight="1" x14ac:dyDescent="0.25">
      <c r="A27" s="480"/>
      <c r="B27" s="182" t="s">
        <v>716</v>
      </c>
      <c r="C27" s="291">
        <v>45807</v>
      </c>
      <c r="D27" s="1"/>
      <c r="E27" s="337">
        <v>493974.92</v>
      </c>
    </row>
    <row r="28" spans="1:7" x14ac:dyDescent="0.25">
      <c r="A28" s="319"/>
      <c r="B28" s="340" t="s">
        <v>641</v>
      </c>
      <c r="C28" s="326"/>
      <c r="D28" s="326"/>
      <c r="E28" s="341"/>
    </row>
    <row r="29" spans="1:7" x14ac:dyDescent="0.25">
      <c r="A29" s="482" t="s">
        <v>572</v>
      </c>
      <c r="B29" s="482"/>
      <c r="C29" s="181"/>
      <c r="D29" s="181"/>
      <c r="E29" s="287">
        <f>SUM(E13:E28)</f>
        <v>7518709.1100000003</v>
      </c>
    </row>
    <row r="30" spans="1:7" ht="29.25" customHeight="1" x14ac:dyDescent="0.25">
      <c r="A30" s="485" t="s">
        <v>720</v>
      </c>
      <c r="B30" s="1" t="s">
        <v>581</v>
      </c>
      <c r="C30" s="366"/>
      <c r="D30" s="366"/>
      <c r="E30" s="334">
        <v>150000</v>
      </c>
    </row>
    <row r="31" spans="1:7" ht="15.75" x14ac:dyDescent="0.25">
      <c r="A31" s="480"/>
      <c r="B31" s="328" t="s">
        <v>704</v>
      </c>
      <c r="C31" s="327" t="s">
        <v>994</v>
      </c>
      <c r="D31" s="329"/>
      <c r="E31" s="334">
        <v>284450</v>
      </c>
      <c r="F31" s="367"/>
    </row>
    <row r="32" spans="1:7" ht="15.75" x14ac:dyDescent="0.25">
      <c r="A32" s="480"/>
      <c r="B32" s="330" t="s">
        <v>582</v>
      </c>
      <c r="C32" s="330"/>
      <c r="D32" s="329"/>
      <c r="E32" s="334"/>
    </row>
    <row r="33" spans="1:6" ht="18.75" customHeight="1" x14ac:dyDescent="0.25">
      <c r="A33" s="480"/>
      <c r="B33" s="331" t="s">
        <v>705</v>
      </c>
      <c r="C33" s="330" t="s">
        <v>995</v>
      </c>
      <c r="D33" s="329"/>
      <c r="E33" s="334">
        <v>15000</v>
      </c>
    </row>
    <row r="34" spans="1:6" ht="30" x14ac:dyDescent="0.25">
      <c r="A34" s="480"/>
      <c r="B34" s="331" t="s">
        <v>583</v>
      </c>
      <c r="C34" s="327"/>
      <c r="D34" s="329"/>
      <c r="E34" s="335"/>
    </row>
    <row r="35" spans="1:6" s="365" customFormat="1" ht="15.75" x14ac:dyDescent="0.25">
      <c r="A35" s="480"/>
      <c r="B35" s="363" t="s">
        <v>993</v>
      </c>
      <c r="C35" s="327" t="s">
        <v>994</v>
      </c>
      <c r="D35" s="325"/>
      <c r="E35" s="364">
        <v>124850</v>
      </c>
      <c r="F35" s="368"/>
    </row>
    <row r="36" spans="1:6" ht="15" customHeight="1" x14ac:dyDescent="0.25">
      <c r="A36" s="486"/>
      <c r="B36" s="332" t="s">
        <v>584</v>
      </c>
      <c r="C36" s="327"/>
      <c r="D36" s="329"/>
      <c r="E36" s="335"/>
    </row>
    <row r="37" spans="1:6" x14ac:dyDescent="0.25">
      <c r="A37" s="483" t="s">
        <v>572</v>
      </c>
      <c r="B37" s="484"/>
      <c r="C37" s="181"/>
      <c r="D37" s="181"/>
      <c r="E37" s="287">
        <f>SUM(E30:E35)</f>
        <v>574300</v>
      </c>
    </row>
    <row r="38" spans="1:6" x14ac:dyDescent="0.25">
      <c r="A38" s="487" t="s">
        <v>585</v>
      </c>
      <c r="B38" s="488"/>
      <c r="C38" s="183"/>
      <c r="D38" s="183"/>
      <c r="E38" s="288">
        <f>E29+E37+E12</f>
        <v>108409804.19</v>
      </c>
    </row>
    <row r="39" spans="1:6" x14ac:dyDescent="0.25">
      <c r="A39" s="184"/>
      <c r="B39" s="184"/>
      <c r="C39" s="185"/>
      <c r="D39" s="185"/>
      <c r="E39" s="289"/>
    </row>
    <row r="40" spans="1:6" x14ac:dyDescent="0.25">
      <c r="A40" s="184"/>
      <c r="B40" s="184"/>
      <c r="C40" s="185"/>
      <c r="D40" s="185"/>
      <c r="E40" s="289"/>
    </row>
    <row r="41" spans="1:6" ht="15" customHeight="1" x14ac:dyDescent="0.25">
      <c r="A41" s="481" t="s">
        <v>1007</v>
      </c>
      <c r="B41" s="481"/>
      <c r="C41" s="481"/>
      <c r="D41" s="481"/>
      <c r="E41" s="481"/>
    </row>
    <row r="42" spans="1:6" x14ac:dyDescent="0.25">
      <c r="A42" s="481"/>
      <c r="B42" s="481"/>
      <c r="C42" s="481"/>
      <c r="D42" s="481"/>
      <c r="E42" s="481"/>
    </row>
    <row r="44" spans="1:6" x14ac:dyDescent="0.25">
      <c r="A44" s="489" t="s">
        <v>1008</v>
      </c>
      <c r="B44" s="489"/>
      <c r="C44" s="489"/>
      <c r="D44" s="489"/>
      <c r="E44" s="489"/>
    </row>
    <row r="46" spans="1:6" x14ac:dyDescent="0.25">
      <c r="A46" s="321" t="s">
        <v>706</v>
      </c>
      <c r="B46" s="321" t="s">
        <v>707</v>
      </c>
      <c r="C46" s="321" t="s">
        <v>708</v>
      </c>
      <c r="D46" s="322" t="s">
        <v>709</v>
      </c>
      <c r="E46" s="336"/>
    </row>
    <row r="47" spans="1:6" x14ac:dyDescent="0.25">
      <c r="A47" s="124" t="s">
        <v>721</v>
      </c>
      <c r="B47" s="337">
        <v>1377881.1599999983</v>
      </c>
      <c r="C47" s="338">
        <v>3821033.62</v>
      </c>
      <c r="D47" s="149">
        <v>1731116.63</v>
      </c>
      <c r="E47" s="283"/>
    </row>
    <row r="48" spans="1:6" x14ac:dyDescent="0.25">
      <c r="A48" s="124"/>
      <c r="B48" s="124"/>
      <c r="C48" s="124"/>
      <c r="D48" s="124"/>
      <c r="E48" s="290"/>
    </row>
    <row r="49" spans="1:5" x14ac:dyDescent="0.25">
      <c r="A49" s="124"/>
      <c r="B49" s="124"/>
      <c r="C49" s="124"/>
      <c r="D49" s="124"/>
      <c r="E49" s="290"/>
    </row>
    <row r="50" spans="1:5" x14ac:dyDescent="0.25">
      <c r="A50" s="339"/>
      <c r="B50" s="339"/>
      <c r="C50" s="339"/>
      <c r="D50" s="339"/>
      <c r="E50" s="290"/>
    </row>
    <row r="51" spans="1:5" x14ac:dyDescent="0.25">
      <c r="A51" s="339"/>
      <c r="B51" s="339"/>
      <c r="C51" s="339"/>
      <c r="D51" s="339"/>
      <c r="E51" s="290"/>
    </row>
    <row r="52" spans="1:5" x14ac:dyDescent="0.25">
      <c r="A52" s="339"/>
      <c r="B52" s="339"/>
      <c r="C52" s="339"/>
      <c r="D52" s="339"/>
      <c r="E52" s="290"/>
    </row>
    <row r="53" spans="1:5" x14ac:dyDescent="0.25">
      <c r="A53" s="399" t="s">
        <v>563</v>
      </c>
      <c r="B53" s="399"/>
      <c r="D53" s="399" t="s">
        <v>564</v>
      </c>
      <c r="E53" s="399"/>
    </row>
    <row r="54" spans="1:5" x14ac:dyDescent="0.25">
      <c r="A54" s="140"/>
      <c r="B54" s="140" t="s">
        <v>710</v>
      </c>
      <c r="D54" t="s">
        <v>711</v>
      </c>
    </row>
    <row r="55" spans="1:5" x14ac:dyDescent="0.25">
      <c r="A55" s="399" t="s">
        <v>586</v>
      </c>
      <c r="B55" s="399"/>
      <c r="C55" s="399"/>
      <c r="D55" s="399"/>
      <c r="E55" s="399"/>
    </row>
    <row r="56" spans="1:5" x14ac:dyDescent="0.25">
      <c r="A56" s="317"/>
      <c r="B56" s="399" t="s">
        <v>712</v>
      </c>
      <c r="C56" s="399"/>
      <c r="D56" s="399"/>
      <c r="E56" s="399"/>
    </row>
  </sheetData>
  <mergeCells count="17">
    <mergeCell ref="A3:E3"/>
    <mergeCell ref="A4:E4"/>
    <mergeCell ref="A6:E6"/>
    <mergeCell ref="A7:E7"/>
    <mergeCell ref="A12:B12"/>
    <mergeCell ref="A9:A11"/>
    <mergeCell ref="A55:E55"/>
    <mergeCell ref="B56:E56"/>
    <mergeCell ref="A13:A27"/>
    <mergeCell ref="A53:B53"/>
    <mergeCell ref="D53:E53"/>
    <mergeCell ref="A41:E42"/>
    <mergeCell ref="A29:B29"/>
    <mergeCell ref="A37:B37"/>
    <mergeCell ref="A30:A36"/>
    <mergeCell ref="A38:B38"/>
    <mergeCell ref="A44:E44"/>
  </mergeCells>
  <pageMargins left="0.7" right="0.7" top="0.75" bottom="0.75" header="0.3" footer="0.3"/>
  <pageSetup scale="5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tabSelected="1" view="pageBreakPreview" zoomScale="98" zoomScaleNormal="90" zoomScaleSheetLayoutView="98" workbookViewId="0">
      <pane ySplit="6" topLeftCell="A82" activePane="bottomLeft" state="frozen"/>
      <selection activeCell="F1" sqref="F1"/>
      <selection pane="bottomLeft" activeCell="M53" sqref="M53"/>
    </sheetView>
  </sheetViews>
  <sheetFormatPr baseColWidth="10" defaultColWidth="23.5703125" defaultRowHeight="15" x14ac:dyDescent="0.25"/>
  <cols>
    <col min="1" max="1" width="18" bestFit="1" customWidth="1"/>
    <col min="2" max="2" width="53.7109375" bestFit="1" customWidth="1"/>
    <col min="3" max="3" width="16.85546875" style="279" bestFit="1" customWidth="1"/>
    <col min="4" max="4" width="24.5703125" style="186" bestFit="1" customWidth="1"/>
    <col min="5" max="5" width="19.5703125" bestFit="1" customWidth="1"/>
    <col min="6" max="8" width="20.28515625" bestFit="1" customWidth="1"/>
    <col min="9" max="9" width="20" bestFit="1" customWidth="1"/>
    <col min="10" max="10" width="19.28515625" bestFit="1" customWidth="1"/>
    <col min="11" max="11" width="21.28515625" bestFit="1" customWidth="1"/>
    <col min="12" max="12" width="17.42578125" bestFit="1" customWidth="1"/>
    <col min="13" max="13" width="16.42578125" bestFit="1" customWidth="1"/>
    <col min="14" max="14" width="16.42578125" customWidth="1"/>
  </cols>
  <sheetData>
    <row r="1" spans="1:15" ht="22.5" x14ac:dyDescent="0.3">
      <c r="A1" s="496" t="s">
        <v>632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</row>
    <row r="2" spans="1:15" ht="15.75" x14ac:dyDescent="0.25">
      <c r="A2" s="497" t="s">
        <v>640</v>
      </c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</row>
    <row r="3" spans="1:15" ht="15.75" x14ac:dyDescent="0.25">
      <c r="A3" s="497" t="s">
        <v>633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</row>
    <row r="4" spans="1:15" x14ac:dyDescent="0.25">
      <c r="A4" s="130" t="s">
        <v>427</v>
      </c>
      <c r="B4" s="312" t="s">
        <v>665</v>
      </c>
      <c r="D4" s="283" t="s">
        <v>694</v>
      </c>
      <c r="E4" s="311">
        <v>45778</v>
      </c>
    </row>
    <row r="6" spans="1:15" s="254" customFormat="1" x14ac:dyDescent="0.25">
      <c r="A6" s="252" t="s">
        <v>634</v>
      </c>
      <c r="B6" s="253" t="s">
        <v>635</v>
      </c>
      <c r="C6" s="350" t="s">
        <v>729</v>
      </c>
      <c r="D6" s="344" t="s">
        <v>728</v>
      </c>
      <c r="E6" s="252" t="s">
        <v>646</v>
      </c>
      <c r="F6" s="252" t="s">
        <v>636</v>
      </c>
      <c r="G6" s="252" t="s">
        <v>637</v>
      </c>
      <c r="H6" s="252" t="s">
        <v>647</v>
      </c>
      <c r="I6" s="252" t="s">
        <v>648</v>
      </c>
      <c r="J6" s="252" t="s">
        <v>668</v>
      </c>
      <c r="K6" s="252" t="s">
        <v>669</v>
      </c>
      <c r="L6" s="252" t="s">
        <v>727</v>
      </c>
      <c r="M6" s="252" t="s">
        <v>1006</v>
      </c>
      <c r="N6" s="252" t="s">
        <v>982</v>
      </c>
      <c r="O6" s="252" t="s">
        <v>638</v>
      </c>
    </row>
    <row r="7" spans="1:15" x14ac:dyDescent="0.25">
      <c r="A7" s="2">
        <v>1</v>
      </c>
      <c r="B7" s="256" t="s">
        <v>677</v>
      </c>
      <c r="C7" s="351">
        <v>44963</v>
      </c>
      <c r="D7" s="343" t="s">
        <v>1024</v>
      </c>
      <c r="E7" s="255"/>
      <c r="F7" s="255"/>
      <c r="G7" s="255"/>
      <c r="H7" s="343">
        <v>11375</v>
      </c>
      <c r="I7" s="255"/>
      <c r="J7" s="255"/>
      <c r="K7" s="255"/>
      <c r="L7" s="255"/>
      <c r="M7" s="255"/>
      <c r="N7" s="255"/>
      <c r="O7" s="255">
        <f>SUM(E7:N7)</f>
        <v>11375</v>
      </c>
    </row>
    <row r="8" spans="1:15" x14ac:dyDescent="0.25">
      <c r="A8" s="2">
        <f t="shared" ref="A8:A39" si="0">+A7+1</f>
        <v>2</v>
      </c>
      <c r="B8" s="257" t="s">
        <v>677</v>
      </c>
      <c r="C8" s="351">
        <v>44963</v>
      </c>
      <c r="D8" s="343" t="s">
        <v>1024</v>
      </c>
      <c r="E8" s="255"/>
      <c r="F8" s="255"/>
      <c r="G8" s="255"/>
      <c r="H8" s="343">
        <v>94965</v>
      </c>
      <c r="I8" s="255"/>
      <c r="J8" s="255"/>
      <c r="K8" s="255"/>
      <c r="L8" s="255"/>
      <c r="M8" s="255"/>
      <c r="N8" s="255"/>
      <c r="O8" s="255">
        <f t="shared" ref="O8:O46" si="1">SUM(E8:N8)</f>
        <v>94965</v>
      </c>
    </row>
    <row r="9" spans="1:15" x14ac:dyDescent="0.25">
      <c r="A9" s="2">
        <f t="shared" si="0"/>
        <v>3</v>
      </c>
      <c r="B9" s="256" t="s">
        <v>679</v>
      </c>
      <c r="C9" s="351">
        <v>45042</v>
      </c>
      <c r="D9" s="343" t="s">
        <v>1024</v>
      </c>
      <c r="E9" s="255"/>
      <c r="F9" s="255"/>
      <c r="G9" s="255"/>
      <c r="H9" s="343">
        <v>224775</v>
      </c>
      <c r="I9" s="255"/>
      <c r="J9" s="255"/>
      <c r="K9" s="255"/>
      <c r="L9" s="255"/>
      <c r="M9" s="255"/>
      <c r="N9" s="255"/>
      <c r="O9" s="255">
        <f t="shared" si="1"/>
        <v>224775</v>
      </c>
    </row>
    <row r="10" spans="1:15" x14ac:dyDescent="0.25">
      <c r="A10" s="2">
        <f t="shared" si="0"/>
        <v>4</v>
      </c>
      <c r="B10" s="256" t="s">
        <v>680</v>
      </c>
      <c r="C10" s="351">
        <v>45055</v>
      </c>
      <c r="D10" s="343" t="s">
        <v>1024</v>
      </c>
      <c r="E10" s="255"/>
      <c r="F10" s="255"/>
      <c r="G10" s="255"/>
      <c r="H10" s="343">
        <v>287920</v>
      </c>
      <c r="I10" s="255"/>
      <c r="J10" s="255"/>
      <c r="K10" s="255"/>
      <c r="L10" s="255"/>
      <c r="M10" s="255"/>
      <c r="N10" s="255"/>
      <c r="O10" s="255">
        <f t="shared" si="1"/>
        <v>287920</v>
      </c>
    </row>
    <row r="11" spans="1:15" x14ac:dyDescent="0.25">
      <c r="A11" s="2">
        <f t="shared" si="0"/>
        <v>5</v>
      </c>
      <c r="B11" s="258" t="s">
        <v>681</v>
      </c>
      <c r="C11" s="351">
        <v>45083</v>
      </c>
      <c r="D11" s="343" t="s">
        <v>1024</v>
      </c>
      <c r="E11" s="255"/>
      <c r="F11" s="255"/>
      <c r="G11" s="255"/>
      <c r="H11" s="343">
        <v>220483.05</v>
      </c>
      <c r="I11" s="255"/>
      <c r="J11" s="255"/>
      <c r="K11" s="255"/>
      <c r="L11" s="255"/>
      <c r="M11" s="255"/>
      <c r="N11" s="255"/>
      <c r="O11" s="255">
        <f t="shared" si="1"/>
        <v>220483.05</v>
      </c>
    </row>
    <row r="12" spans="1:15" x14ac:dyDescent="0.25">
      <c r="A12" s="2">
        <f t="shared" si="0"/>
        <v>6</v>
      </c>
      <c r="B12" s="256" t="s">
        <v>652</v>
      </c>
      <c r="C12" s="351">
        <v>45092</v>
      </c>
      <c r="D12" s="343" t="s">
        <v>1024</v>
      </c>
      <c r="E12" s="255"/>
      <c r="F12" s="255"/>
      <c r="G12" s="255"/>
      <c r="H12" s="343">
        <v>4182</v>
      </c>
      <c r="I12" s="255"/>
      <c r="J12" s="255"/>
      <c r="K12" s="255"/>
      <c r="L12" s="255"/>
      <c r="M12" s="255"/>
      <c r="N12" s="255"/>
      <c r="O12" s="255">
        <f t="shared" si="1"/>
        <v>4182</v>
      </c>
    </row>
    <row r="13" spans="1:15" x14ac:dyDescent="0.25">
      <c r="A13" s="2">
        <f t="shared" si="0"/>
        <v>7</v>
      </c>
      <c r="B13" s="256" t="s">
        <v>682</v>
      </c>
      <c r="C13" s="351">
        <v>45092</v>
      </c>
      <c r="D13" s="343" t="s">
        <v>1024</v>
      </c>
      <c r="E13" s="255"/>
      <c r="F13" s="255"/>
      <c r="G13" s="255"/>
      <c r="H13" s="343">
        <v>58382.86</v>
      </c>
      <c r="I13" s="255"/>
      <c r="J13" s="255"/>
      <c r="K13" s="255"/>
      <c r="L13" s="255"/>
      <c r="M13" s="255"/>
      <c r="N13" s="255"/>
      <c r="O13" s="255">
        <f t="shared" si="1"/>
        <v>58382.86</v>
      </c>
    </row>
    <row r="14" spans="1:15" x14ac:dyDescent="0.25">
      <c r="A14" s="2">
        <f t="shared" si="0"/>
        <v>8</v>
      </c>
      <c r="B14" s="256" t="s">
        <v>683</v>
      </c>
      <c r="C14" s="351">
        <v>45135</v>
      </c>
      <c r="D14" s="343" t="s">
        <v>1024</v>
      </c>
      <c r="E14" s="255"/>
      <c r="F14" s="255"/>
      <c r="G14" s="255"/>
      <c r="H14" s="343">
        <v>213260</v>
      </c>
      <c r="I14" s="255"/>
      <c r="J14" s="255"/>
      <c r="K14" s="255"/>
      <c r="L14" s="255"/>
      <c r="M14" s="255"/>
      <c r="N14" s="255"/>
      <c r="O14" s="255">
        <f t="shared" si="1"/>
        <v>213260</v>
      </c>
    </row>
    <row r="15" spans="1:15" x14ac:dyDescent="0.25">
      <c r="A15" s="2">
        <f t="shared" si="0"/>
        <v>9</v>
      </c>
      <c r="B15" s="256" t="s">
        <v>675</v>
      </c>
      <c r="C15" s="351">
        <v>45155</v>
      </c>
      <c r="D15" s="343" t="s">
        <v>1024</v>
      </c>
      <c r="E15" s="255"/>
      <c r="F15" s="255"/>
      <c r="G15" s="255"/>
      <c r="H15" s="343">
        <v>167208</v>
      </c>
      <c r="I15" s="255"/>
      <c r="J15" s="255"/>
      <c r="K15" s="255"/>
      <c r="L15" s="255"/>
      <c r="M15" s="255"/>
      <c r="N15" s="255"/>
      <c r="O15" s="255">
        <f t="shared" si="1"/>
        <v>167208</v>
      </c>
    </row>
    <row r="16" spans="1:15" x14ac:dyDescent="0.25">
      <c r="A16" s="2">
        <f t="shared" si="0"/>
        <v>10</v>
      </c>
      <c r="B16" s="256" t="s">
        <v>684</v>
      </c>
      <c r="C16" s="351">
        <v>45184</v>
      </c>
      <c r="D16" s="343" t="s">
        <v>1024</v>
      </c>
      <c r="E16" s="255"/>
      <c r="F16" s="255"/>
      <c r="G16" s="255"/>
      <c r="H16" s="343">
        <v>400</v>
      </c>
      <c r="I16" s="255"/>
      <c r="J16" s="255"/>
      <c r="K16" s="255"/>
      <c r="L16" s="255"/>
      <c r="M16" s="255"/>
      <c r="N16" s="255"/>
      <c r="O16" s="255">
        <f t="shared" si="1"/>
        <v>400</v>
      </c>
    </row>
    <row r="17" spans="1:15" x14ac:dyDescent="0.25">
      <c r="A17" s="2">
        <f t="shared" si="0"/>
        <v>11</v>
      </c>
      <c r="B17" s="256" t="s">
        <v>685</v>
      </c>
      <c r="C17" s="352">
        <v>45292</v>
      </c>
      <c r="D17" s="343" t="s">
        <v>1024</v>
      </c>
      <c r="E17" s="255"/>
      <c r="F17" s="255"/>
      <c r="G17" s="255"/>
      <c r="H17" s="255"/>
      <c r="I17" s="343">
        <v>39361.26</v>
      </c>
      <c r="J17" s="255"/>
      <c r="K17" s="255"/>
      <c r="L17" s="255"/>
      <c r="M17" s="255"/>
      <c r="N17" s="255"/>
      <c r="O17" s="255">
        <f t="shared" si="1"/>
        <v>39361.26</v>
      </c>
    </row>
    <row r="18" spans="1:15" x14ac:dyDescent="0.25">
      <c r="A18" s="2">
        <f t="shared" si="0"/>
        <v>12</v>
      </c>
      <c r="B18" s="256" t="s">
        <v>687</v>
      </c>
      <c r="C18" s="351">
        <v>45327</v>
      </c>
      <c r="D18" s="343" t="s">
        <v>1024</v>
      </c>
      <c r="E18" s="255"/>
      <c r="F18" s="255"/>
      <c r="G18" s="255"/>
      <c r="H18" s="255"/>
      <c r="I18" s="343">
        <v>48852</v>
      </c>
      <c r="J18" s="255"/>
      <c r="K18" s="255"/>
      <c r="L18" s="255"/>
      <c r="M18" s="255"/>
      <c r="N18" s="255"/>
      <c r="O18" s="255">
        <f t="shared" si="1"/>
        <v>48852</v>
      </c>
    </row>
    <row r="19" spans="1:15" x14ac:dyDescent="0.25">
      <c r="A19" s="2">
        <f t="shared" si="0"/>
        <v>13</v>
      </c>
      <c r="B19" s="256" t="s">
        <v>687</v>
      </c>
      <c r="C19" s="351">
        <v>45327</v>
      </c>
      <c r="D19" s="343" t="s">
        <v>1024</v>
      </c>
      <c r="E19" s="255"/>
      <c r="F19" s="255"/>
      <c r="G19" s="255"/>
      <c r="H19" s="255"/>
      <c r="I19" s="343">
        <v>48852</v>
      </c>
      <c r="J19" s="255"/>
      <c r="K19" s="255"/>
      <c r="L19" s="255"/>
      <c r="M19" s="255"/>
      <c r="N19" s="255"/>
      <c r="O19" s="255">
        <f t="shared" si="1"/>
        <v>48852</v>
      </c>
    </row>
    <row r="20" spans="1:15" x14ac:dyDescent="0.25">
      <c r="A20" s="2">
        <f t="shared" si="0"/>
        <v>14</v>
      </c>
      <c r="B20" s="256" t="s">
        <v>673</v>
      </c>
      <c r="C20" s="351">
        <v>45352</v>
      </c>
      <c r="D20" s="343" t="s">
        <v>1024</v>
      </c>
      <c r="E20" s="255"/>
      <c r="F20" s="255"/>
      <c r="G20" s="255"/>
      <c r="H20" s="255"/>
      <c r="I20" s="343">
        <v>94341</v>
      </c>
      <c r="J20" s="255"/>
      <c r="K20" s="255"/>
      <c r="L20" s="255"/>
      <c r="M20" s="255"/>
      <c r="N20" s="255"/>
      <c r="O20" s="255">
        <f t="shared" si="1"/>
        <v>94341</v>
      </c>
    </row>
    <row r="21" spans="1:15" x14ac:dyDescent="0.25">
      <c r="A21" s="2">
        <f t="shared" si="0"/>
        <v>15</v>
      </c>
      <c r="B21" s="256" t="s">
        <v>686</v>
      </c>
      <c r="C21" s="351">
        <v>45385</v>
      </c>
      <c r="D21" s="343" t="s">
        <v>1024</v>
      </c>
      <c r="E21" s="255"/>
      <c r="F21" s="255"/>
      <c r="G21" s="255"/>
      <c r="H21" s="255"/>
      <c r="I21" s="343">
        <v>3450</v>
      </c>
      <c r="J21" s="255"/>
      <c r="K21" s="255"/>
      <c r="L21" s="255"/>
      <c r="M21" s="255"/>
      <c r="N21" s="255"/>
      <c r="O21" s="255">
        <f t="shared" si="1"/>
        <v>3450</v>
      </c>
    </row>
    <row r="22" spans="1:15" x14ac:dyDescent="0.25">
      <c r="A22" s="2">
        <f t="shared" si="0"/>
        <v>16</v>
      </c>
      <c r="B22" s="256" t="s">
        <v>676</v>
      </c>
      <c r="C22" s="351">
        <v>45394</v>
      </c>
      <c r="D22" s="343" t="s">
        <v>1024</v>
      </c>
      <c r="E22" s="255"/>
      <c r="F22" s="255"/>
      <c r="G22" s="255"/>
      <c r="H22" s="255"/>
      <c r="I22" s="343">
        <v>162462.39999999999</v>
      </c>
      <c r="J22" s="255"/>
      <c r="K22" s="255"/>
      <c r="L22" s="255"/>
      <c r="M22" s="255"/>
      <c r="N22" s="255"/>
      <c r="O22" s="255">
        <f t="shared" si="1"/>
        <v>162462.39999999999</v>
      </c>
    </row>
    <row r="23" spans="1:15" x14ac:dyDescent="0.25">
      <c r="A23" s="2">
        <f t="shared" si="0"/>
        <v>17</v>
      </c>
      <c r="B23" s="256" t="s">
        <v>685</v>
      </c>
      <c r="C23" s="351">
        <v>45446</v>
      </c>
      <c r="D23" s="343" t="s">
        <v>1024</v>
      </c>
      <c r="E23" s="255"/>
      <c r="F23" s="255"/>
      <c r="G23" s="255"/>
      <c r="H23" s="255"/>
      <c r="I23" s="343">
        <v>240720</v>
      </c>
      <c r="J23" s="255"/>
      <c r="K23" s="255"/>
      <c r="L23" s="255"/>
      <c r="M23" s="255"/>
      <c r="N23" s="255"/>
      <c r="O23" s="255">
        <f t="shared" si="1"/>
        <v>240720</v>
      </c>
    </row>
    <row r="24" spans="1:15" x14ac:dyDescent="0.25">
      <c r="A24" s="2">
        <f t="shared" si="0"/>
        <v>18</v>
      </c>
      <c r="B24" s="256" t="s">
        <v>687</v>
      </c>
      <c r="C24" s="351">
        <v>45476</v>
      </c>
      <c r="D24" s="343" t="s">
        <v>1024</v>
      </c>
      <c r="E24" s="255"/>
      <c r="F24" s="255"/>
      <c r="G24" s="255"/>
      <c r="H24" s="255"/>
      <c r="I24" s="343">
        <v>48852</v>
      </c>
      <c r="J24" s="255"/>
      <c r="K24" s="255"/>
      <c r="L24" s="255"/>
      <c r="M24" s="255"/>
      <c r="N24" s="255"/>
      <c r="O24" s="255">
        <f t="shared" si="1"/>
        <v>48852</v>
      </c>
    </row>
    <row r="25" spans="1:15" x14ac:dyDescent="0.25">
      <c r="A25" s="2">
        <f t="shared" si="0"/>
        <v>19</v>
      </c>
      <c r="B25" s="256" t="s">
        <v>687</v>
      </c>
      <c r="C25" s="351">
        <v>45476</v>
      </c>
      <c r="D25" s="343" t="s">
        <v>1024</v>
      </c>
      <c r="E25" s="255"/>
      <c r="F25" s="255"/>
      <c r="G25" s="255"/>
      <c r="H25" s="255"/>
      <c r="I25" s="343">
        <v>48852</v>
      </c>
      <c r="J25" s="255"/>
      <c r="K25" s="255"/>
      <c r="L25" s="255"/>
      <c r="M25" s="255"/>
      <c r="N25" s="255"/>
      <c r="O25" s="255">
        <f t="shared" si="1"/>
        <v>48852</v>
      </c>
    </row>
    <row r="26" spans="1:15" x14ac:dyDescent="0.25">
      <c r="A26" s="2">
        <f t="shared" si="0"/>
        <v>20</v>
      </c>
      <c r="B26" s="256" t="s">
        <v>688</v>
      </c>
      <c r="C26" s="351">
        <v>45503</v>
      </c>
      <c r="D26" s="343" t="s">
        <v>1024</v>
      </c>
      <c r="E26" s="255"/>
      <c r="F26" s="255"/>
      <c r="G26" s="255"/>
      <c r="H26" s="255"/>
      <c r="I26" s="343">
        <v>112271.1</v>
      </c>
      <c r="J26" s="255"/>
      <c r="K26" s="255"/>
      <c r="L26" s="255"/>
      <c r="M26" s="255"/>
      <c r="N26" s="255"/>
      <c r="O26" s="255">
        <f t="shared" si="1"/>
        <v>112271.1</v>
      </c>
    </row>
    <row r="27" spans="1:15" x14ac:dyDescent="0.25">
      <c r="A27" s="2">
        <f t="shared" si="0"/>
        <v>21</v>
      </c>
      <c r="B27" s="256" t="s">
        <v>689</v>
      </c>
      <c r="C27" s="351">
        <v>45506</v>
      </c>
      <c r="D27" s="343" t="s">
        <v>1024</v>
      </c>
      <c r="E27" s="255"/>
      <c r="F27" s="255"/>
      <c r="G27" s="255"/>
      <c r="H27" s="255"/>
      <c r="I27" s="343">
        <v>56168</v>
      </c>
      <c r="J27" s="255"/>
      <c r="K27" s="255"/>
      <c r="L27" s="255"/>
      <c r="M27" s="255"/>
      <c r="N27" s="255"/>
      <c r="O27" s="255">
        <f t="shared" si="1"/>
        <v>56168</v>
      </c>
    </row>
    <row r="28" spans="1:15" x14ac:dyDescent="0.25">
      <c r="A28" s="2">
        <f t="shared" si="0"/>
        <v>22</v>
      </c>
      <c r="B28" s="256" t="s">
        <v>691</v>
      </c>
      <c r="C28" s="351">
        <v>45593</v>
      </c>
      <c r="D28" s="343" t="s">
        <v>1024</v>
      </c>
      <c r="E28" s="255"/>
      <c r="F28" s="255"/>
      <c r="G28" s="255"/>
      <c r="H28" s="255"/>
      <c r="I28" s="343">
        <v>16520</v>
      </c>
      <c r="J28" s="255"/>
      <c r="K28" s="255"/>
      <c r="L28" s="255"/>
      <c r="M28" s="255"/>
      <c r="N28" s="255"/>
      <c r="O28" s="255">
        <f t="shared" si="1"/>
        <v>16520</v>
      </c>
    </row>
    <row r="29" spans="1:15" x14ac:dyDescent="0.25">
      <c r="A29" s="2">
        <f t="shared" si="0"/>
        <v>23</v>
      </c>
      <c r="B29" s="256" t="s">
        <v>686</v>
      </c>
      <c r="C29" s="351">
        <v>45600</v>
      </c>
      <c r="D29" s="343" t="s">
        <v>1024</v>
      </c>
      <c r="E29" s="255"/>
      <c r="F29" s="255"/>
      <c r="G29" s="255"/>
      <c r="H29" s="255"/>
      <c r="I29" s="343">
        <v>10775</v>
      </c>
      <c r="J29" s="255"/>
      <c r="K29" s="255"/>
      <c r="L29" s="255"/>
      <c r="M29" s="255"/>
      <c r="N29" s="255"/>
      <c r="O29" s="255">
        <f t="shared" si="1"/>
        <v>10775</v>
      </c>
    </row>
    <row r="30" spans="1:15" x14ac:dyDescent="0.25">
      <c r="A30" s="2">
        <f t="shared" si="0"/>
        <v>24</v>
      </c>
      <c r="B30" s="256" t="s">
        <v>686</v>
      </c>
      <c r="C30" s="351">
        <v>45625</v>
      </c>
      <c r="D30" s="343" t="s">
        <v>1024</v>
      </c>
      <c r="E30" s="255"/>
      <c r="F30" s="255"/>
      <c r="G30" s="255"/>
      <c r="H30" s="255"/>
      <c r="I30" s="343">
        <v>77150</v>
      </c>
      <c r="J30" s="255"/>
      <c r="K30" s="255"/>
      <c r="L30" s="255"/>
      <c r="M30" s="255"/>
      <c r="N30" s="255"/>
      <c r="O30" s="255">
        <f t="shared" si="1"/>
        <v>77150</v>
      </c>
    </row>
    <row r="31" spans="1:15" x14ac:dyDescent="0.25">
      <c r="A31" s="2">
        <f t="shared" si="0"/>
        <v>25</v>
      </c>
      <c r="B31" s="256" t="s">
        <v>676</v>
      </c>
      <c r="C31" s="351">
        <v>45667</v>
      </c>
      <c r="D31" s="343" t="s">
        <v>1024</v>
      </c>
      <c r="E31" s="255"/>
      <c r="F31" s="255"/>
      <c r="G31" s="255"/>
      <c r="H31" s="255"/>
      <c r="I31" s="255"/>
      <c r="J31" s="343">
        <v>20060</v>
      </c>
      <c r="K31" s="255"/>
      <c r="L31" s="255"/>
      <c r="M31" s="255"/>
      <c r="N31" s="255"/>
      <c r="O31" s="255">
        <f t="shared" si="1"/>
        <v>20060</v>
      </c>
    </row>
    <row r="32" spans="1:15" x14ac:dyDescent="0.25">
      <c r="A32" s="2">
        <f t="shared" si="0"/>
        <v>26</v>
      </c>
      <c r="B32" s="256" t="s">
        <v>676</v>
      </c>
      <c r="C32" s="351">
        <v>45702</v>
      </c>
      <c r="D32" s="343" t="s">
        <v>1024</v>
      </c>
      <c r="E32" s="255"/>
      <c r="F32" s="255"/>
      <c r="G32" s="255"/>
      <c r="H32" s="255"/>
      <c r="I32" s="255"/>
      <c r="J32" s="343"/>
      <c r="K32" s="343">
        <v>137691.84</v>
      </c>
      <c r="L32" s="255"/>
      <c r="M32" s="255"/>
      <c r="N32" s="255"/>
      <c r="O32" s="255">
        <f t="shared" si="1"/>
        <v>137691.84</v>
      </c>
    </row>
    <row r="33" spans="1:15" x14ac:dyDescent="0.25">
      <c r="A33" s="2">
        <f t="shared" si="0"/>
        <v>27</v>
      </c>
      <c r="B33" s="256" t="s">
        <v>725</v>
      </c>
      <c r="C33" s="351">
        <v>45719</v>
      </c>
      <c r="D33" s="343" t="s">
        <v>1024</v>
      </c>
      <c r="E33" s="255"/>
      <c r="F33" s="255"/>
      <c r="G33" s="255"/>
      <c r="H33" s="255"/>
      <c r="I33" s="255"/>
      <c r="J33" s="255"/>
      <c r="K33" s="255"/>
      <c r="L33" s="343">
        <v>413000</v>
      </c>
      <c r="M33" s="255"/>
      <c r="N33" s="255"/>
      <c r="O33" s="255">
        <f t="shared" si="1"/>
        <v>413000</v>
      </c>
    </row>
    <row r="34" spans="1:15" x14ac:dyDescent="0.25">
      <c r="A34" s="2">
        <f t="shared" si="0"/>
        <v>28</v>
      </c>
      <c r="B34" s="256" t="s">
        <v>1005</v>
      </c>
      <c r="C34" s="351">
        <v>45719</v>
      </c>
      <c r="D34" s="343" t="s">
        <v>1024</v>
      </c>
      <c r="E34" s="255"/>
      <c r="F34" s="255"/>
      <c r="G34" s="255"/>
      <c r="H34" s="255"/>
      <c r="I34" s="255"/>
      <c r="J34" s="255"/>
      <c r="K34" s="255"/>
      <c r="L34" s="343">
        <v>1361144.97</v>
      </c>
      <c r="M34" s="255"/>
      <c r="N34" s="255"/>
      <c r="O34" s="255">
        <f t="shared" si="1"/>
        <v>1361144.97</v>
      </c>
    </row>
    <row r="35" spans="1:15" x14ac:dyDescent="0.25">
      <c r="A35" s="2">
        <f t="shared" si="0"/>
        <v>29</v>
      </c>
      <c r="B35" s="256" t="s">
        <v>686</v>
      </c>
      <c r="C35" s="351">
        <v>45720</v>
      </c>
      <c r="D35" s="343" t="s">
        <v>1024</v>
      </c>
      <c r="E35" s="255"/>
      <c r="F35" s="255"/>
      <c r="G35" s="255"/>
      <c r="H35" s="255"/>
      <c r="I35" s="255"/>
      <c r="J35" s="255"/>
      <c r="K35" s="255"/>
      <c r="L35" s="343">
        <v>7250</v>
      </c>
      <c r="M35" s="255"/>
      <c r="N35" s="255"/>
      <c r="O35" s="255">
        <f t="shared" si="1"/>
        <v>7250</v>
      </c>
    </row>
    <row r="36" spans="1:15" x14ac:dyDescent="0.25">
      <c r="A36" s="2">
        <f t="shared" si="0"/>
        <v>30</v>
      </c>
      <c r="B36" s="256" t="s">
        <v>692</v>
      </c>
      <c r="C36" s="351">
        <v>45724</v>
      </c>
      <c r="D36" s="343" t="s">
        <v>1024</v>
      </c>
      <c r="E36" s="255"/>
      <c r="F36" s="255"/>
      <c r="G36" s="255"/>
      <c r="H36" s="255"/>
      <c r="I36" s="255"/>
      <c r="J36" s="255"/>
      <c r="K36" s="255"/>
      <c r="L36" s="343">
        <v>3500</v>
      </c>
      <c r="M36" s="255"/>
      <c r="N36" s="255"/>
      <c r="O36" s="255">
        <f t="shared" si="1"/>
        <v>3500</v>
      </c>
    </row>
    <row r="37" spans="1:15" x14ac:dyDescent="0.25">
      <c r="A37" s="2">
        <f t="shared" si="0"/>
        <v>31</v>
      </c>
      <c r="B37" s="256" t="s">
        <v>673</v>
      </c>
      <c r="C37" s="351">
        <v>45738</v>
      </c>
      <c r="D37" s="343" t="s">
        <v>1024</v>
      </c>
      <c r="E37" s="255"/>
      <c r="F37" s="255"/>
      <c r="G37" s="255"/>
      <c r="H37" s="255"/>
      <c r="I37" s="255"/>
      <c r="J37" s="255"/>
      <c r="K37" s="255"/>
      <c r="L37" s="343">
        <v>107989.6</v>
      </c>
      <c r="M37" s="255"/>
      <c r="N37" s="255"/>
      <c r="O37" s="255">
        <f t="shared" si="1"/>
        <v>107989.6</v>
      </c>
    </row>
    <row r="38" spans="1:15" x14ac:dyDescent="0.25">
      <c r="A38" s="2">
        <f t="shared" si="0"/>
        <v>32</v>
      </c>
      <c r="B38" s="256" t="s">
        <v>726</v>
      </c>
      <c r="C38" s="351">
        <v>45740</v>
      </c>
      <c r="D38" s="343" t="s">
        <v>1024</v>
      </c>
      <c r="E38" s="255"/>
      <c r="F38" s="255"/>
      <c r="G38" s="255"/>
      <c r="H38" s="255"/>
      <c r="I38" s="255"/>
      <c r="J38" s="255"/>
      <c r="K38" s="255"/>
      <c r="L38" s="343">
        <v>9500</v>
      </c>
      <c r="M38" s="255"/>
      <c r="N38" s="255"/>
      <c r="O38" s="255">
        <f t="shared" si="1"/>
        <v>9500</v>
      </c>
    </row>
    <row r="39" spans="1:15" x14ac:dyDescent="0.25">
      <c r="A39" s="2">
        <f t="shared" si="0"/>
        <v>33</v>
      </c>
      <c r="B39" s="256" t="s">
        <v>660</v>
      </c>
      <c r="C39" s="351">
        <v>45742</v>
      </c>
      <c r="D39" s="343" t="s">
        <v>1024</v>
      </c>
      <c r="E39" s="255"/>
      <c r="F39" s="255"/>
      <c r="G39" s="255"/>
      <c r="H39" s="255"/>
      <c r="I39" s="255"/>
      <c r="J39" s="255"/>
      <c r="K39" s="255"/>
      <c r="L39" s="343">
        <v>216333.29</v>
      </c>
      <c r="M39" s="255"/>
      <c r="N39" s="255"/>
      <c r="O39" s="255">
        <f t="shared" si="1"/>
        <v>216333.29</v>
      </c>
    </row>
    <row r="40" spans="1:15" x14ac:dyDescent="0.25">
      <c r="A40" s="2">
        <f t="shared" ref="A40:A76" si="2">+A39+1</f>
        <v>34</v>
      </c>
      <c r="B40" s="256" t="s">
        <v>723</v>
      </c>
      <c r="C40" s="351">
        <v>45744</v>
      </c>
      <c r="D40" s="343" t="s">
        <v>1024</v>
      </c>
      <c r="E40" s="255"/>
      <c r="F40" s="255"/>
      <c r="G40" s="255"/>
      <c r="H40" s="255"/>
      <c r="I40" s="255"/>
      <c r="J40" s="255"/>
      <c r="K40" s="255"/>
      <c r="L40" s="343">
        <v>1475000</v>
      </c>
      <c r="M40" s="255"/>
      <c r="N40" s="255"/>
      <c r="O40" s="255">
        <f t="shared" si="1"/>
        <v>1475000</v>
      </c>
    </row>
    <row r="41" spans="1:15" x14ac:dyDescent="0.25">
      <c r="A41" s="2">
        <f t="shared" si="2"/>
        <v>35</v>
      </c>
      <c r="B41" s="256" t="s">
        <v>686</v>
      </c>
      <c r="C41" s="351">
        <v>45748</v>
      </c>
      <c r="D41" s="343" t="s">
        <v>1024</v>
      </c>
      <c r="E41" s="255"/>
      <c r="F41" s="255"/>
      <c r="G41" s="255"/>
      <c r="H41" s="255"/>
      <c r="I41" s="255"/>
      <c r="J41" s="255"/>
      <c r="K41" s="255"/>
      <c r="L41" s="255"/>
      <c r="M41" s="343">
        <v>13900</v>
      </c>
      <c r="N41" s="343"/>
      <c r="O41" s="255">
        <f t="shared" si="1"/>
        <v>13900</v>
      </c>
    </row>
    <row r="42" spans="1:15" x14ac:dyDescent="0.25">
      <c r="A42" s="2">
        <f t="shared" si="2"/>
        <v>36</v>
      </c>
      <c r="B42" s="256" t="s">
        <v>686</v>
      </c>
      <c r="C42" s="351">
        <v>45748</v>
      </c>
      <c r="D42" s="343" t="s">
        <v>1024</v>
      </c>
      <c r="E42" s="255"/>
      <c r="F42" s="255"/>
      <c r="G42" s="255"/>
      <c r="H42" s="255"/>
      <c r="I42" s="255"/>
      <c r="J42" s="255"/>
      <c r="K42" s="255"/>
      <c r="L42" s="255"/>
      <c r="M42" s="343">
        <v>13900</v>
      </c>
      <c r="N42" s="343"/>
      <c r="O42" s="255">
        <f t="shared" si="1"/>
        <v>13900</v>
      </c>
    </row>
    <row r="43" spans="1:15" x14ac:dyDescent="0.25">
      <c r="A43" s="2">
        <f t="shared" si="2"/>
        <v>37</v>
      </c>
      <c r="B43" s="256" t="s">
        <v>726</v>
      </c>
      <c r="C43" s="351">
        <v>45749</v>
      </c>
      <c r="D43" s="343" t="s">
        <v>1024</v>
      </c>
      <c r="E43" s="255"/>
      <c r="F43" s="255"/>
      <c r="G43" s="255"/>
      <c r="H43" s="255"/>
      <c r="I43" s="255"/>
      <c r="J43" s="255"/>
      <c r="K43" s="255"/>
      <c r="L43" s="255"/>
      <c r="M43" s="343">
        <v>9480</v>
      </c>
      <c r="N43" s="343"/>
      <c r="O43" s="255">
        <f t="shared" si="1"/>
        <v>9480</v>
      </c>
    </row>
    <row r="44" spans="1:15" x14ac:dyDescent="0.25">
      <c r="A44" s="2">
        <f t="shared" si="2"/>
        <v>38</v>
      </c>
      <c r="B44" s="256" t="s">
        <v>678</v>
      </c>
      <c r="C44" s="351">
        <v>45750</v>
      </c>
      <c r="D44" s="343" t="s">
        <v>1024</v>
      </c>
      <c r="E44" s="255"/>
      <c r="F44" s="255"/>
      <c r="G44" s="255"/>
      <c r="H44" s="255"/>
      <c r="I44" s="255"/>
      <c r="J44" s="255"/>
      <c r="K44" s="255"/>
      <c r="L44" s="255"/>
      <c r="M44" s="343">
        <v>2400</v>
      </c>
      <c r="N44" s="343"/>
      <c r="O44" s="255">
        <f t="shared" si="1"/>
        <v>2400</v>
      </c>
    </row>
    <row r="45" spans="1:15" x14ac:dyDescent="0.25">
      <c r="A45" s="2">
        <f t="shared" si="2"/>
        <v>39</v>
      </c>
      <c r="B45" s="256" t="s">
        <v>678</v>
      </c>
      <c r="C45" s="351">
        <v>45750</v>
      </c>
      <c r="D45" s="343" t="s">
        <v>1024</v>
      </c>
      <c r="E45" s="255"/>
      <c r="F45" s="255"/>
      <c r="G45" s="255"/>
      <c r="H45" s="255"/>
      <c r="I45" s="255"/>
      <c r="J45" s="255"/>
      <c r="K45" s="255"/>
      <c r="L45" s="255"/>
      <c r="M45" s="343">
        <v>2400</v>
      </c>
      <c r="N45" s="343"/>
      <c r="O45" s="255">
        <f t="shared" si="1"/>
        <v>2400</v>
      </c>
    </row>
    <row r="46" spans="1:15" x14ac:dyDescent="0.25">
      <c r="A46" s="2">
        <f t="shared" si="2"/>
        <v>40</v>
      </c>
      <c r="B46" s="256" t="s">
        <v>692</v>
      </c>
      <c r="C46" s="351">
        <v>45750</v>
      </c>
      <c r="D46" s="343" t="s">
        <v>1024</v>
      </c>
      <c r="E46" s="255"/>
      <c r="F46" s="255"/>
      <c r="G46" s="255"/>
      <c r="H46" s="255"/>
      <c r="I46" s="255"/>
      <c r="J46" s="255"/>
      <c r="K46" s="255"/>
      <c r="L46" s="255"/>
      <c r="M46" s="343">
        <v>44763</v>
      </c>
      <c r="N46" s="343"/>
      <c r="O46" s="255">
        <f t="shared" si="1"/>
        <v>44763</v>
      </c>
    </row>
    <row r="47" spans="1:15" x14ac:dyDescent="0.25">
      <c r="A47" s="2">
        <f t="shared" si="2"/>
        <v>41</v>
      </c>
      <c r="B47" s="256" t="s">
        <v>652</v>
      </c>
      <c r="C47" s="351">
        <v>45754</v>
      </c>
      <c r="D47" s="343" t="s">
        <v>1024</v>
      </c>
      <c r="E47" s="255"/>
      <c r="F47" s="255"/>
      <c r="G47" s="255"/>
      <c r="H47" s="255"/>
      <c r="I47" s="255"/>
      <c r="J47" s="255"/>
      <c r="K47" s="255"/>
      <c r="L47" s="255"/>
      <c r="M47" s="343">
        <v>49106.2</v>
      </c>
      <c r="N47" s="343"/>
      <c r="O47" s="255">
        <f>SUM(E47:N47)</f>
        <v>49106.2</v>
      </c>
    </row>
    <row r="48" spans="1:15" x14ac:dyDescent="0.25">
      <c r="A48" s="2">
        <f t="shared" si="2"/>
        <v>42</v>
      </c>
      <c r="B48" s="256" t="s">
        <v>726</v>
      </c>
      <c r="C48" s="351">
        <v>45756</v>
      </c>
      <c r="D48" s="343" t="s">
        <v>1024</v>
      </c>
      <c r="E48" s="255"/>
      <c r="F48" s="255"/>
      <c r="G48" s="255"/>
      <c r="H48" s="255"/>
      <c r="I48" s="255"/>
      <c r="J48" s="255"/>
      <c r="K48" s="255"/>
      <c r="L48" s="255"/>
      <c r="M48" s="343">
        <v>9360</v>
      </c>
      <c r="N48" s="343"/>
      <c r="O48" s="255">
        <f t="shared" ref="O48:O82" si="3">SUM(E48:N48)</f>
        <v>9360</v>
      </c>
    </row>
    <row r="49" spans="1:15" x14ac:dyDescent="0.25">
      <c r="A49" s="2">
        <f t="shared" si="2"/>
        <v>43</v>
      </c>
      <c r="B49" s="256" t="s">
        <v>1004</v>
      </c>
      <c r="C49" s="351">
        <v>45761</v>
      </c>
      <c r="D49" s="343" t="s">
        <v>1024</v>
      </c>
      <c r="E49" s="255"/>
      <c r="F49" s="255"/>
      <c r="G49" s="255"/>
      <c r="H49" s="255"/>
      <c r="I49" s="255"/>
      <c r="J49" s="255"/>
      <c r="K49" s="255"/>
      <c r="L49" s="255"/>
      <c r="M49" s="343">
        <v>781979.39</v>
      </c>
      <c r="N49" s="343"/>
      <c r="O49" s="255">
        <f t="shared" si="3"/>
        <v>781979.39</v>
      </c>
    </row>
    <row r="50" spans="1:15" x14ac:dyDescent="0.25">
      <c r="A50" s="2">
        <f t="shared" si="2"/>
        <v>44</v>
      </c>
      <c r="B50" s="256" t="s">
        <v>726</v>
      </c>
      <c r="C50" s="351">
        <v>45762</v>
      </c>
      <c r="D50" s="343" t="s">
        <v>1024</v>
      </c>
      <c r="E50" s="255"/>
      <c r="F50" s="255"/>
      <c r="G50" s="255"/>
      <c r="H50" s="255"/>
      <c r="I50" s="255"/>
      <c r="J50" s="255"/>
      <c r="K50" s="255"/>
      <c r="L50" s="255"/>
      <c r="M50" s="343">
        <v>8160</v>
      </c>
      <c r="N50" s="343"/>
      <c r="O50" s="255">
        <f t="shared" si="3"/>
        <v>8160</v>
      </c>
    </row>
    <row r="51" spans="1:15" x14ac:dyDescent="0.25">
      <c r="A51" s="2">
        <f t="shared" si="2"/>
        <v>45</v>
      </c>
      <c r="B51" s="256" t="s">
        <v>660</v>
      </c>
      <c r="C51" s="351">
        <v>45763</v>
      </c>
      <c r="D51" s="343" t="s">
        <v>1024</v>
      </c>
      <c r="E51" s="255"/>
      <c r="F51" s="255"/>
      <c r="G51" s="255"/>
      <c r="H51" s="255"/>
      <c r="I51" s="255"/>
      <c r="J51" s="255"/>
      <c r="K51" s="255"/>
      <c r="L51" s="255"/>
      <c r="M51" s="343">
        <v>148119.29</v>
      </c>
      <c r="N51" s="343"/>
      <c r="O51" s="255">
        <f t="shared" si="3"/>
        <v>148119.29</v>
      </c>
    </row>
    <row r="52" spans="1:15" x14ac:dyDescent="0.25">
      <c r="A52" s="2">
        <f t="shared" si="2"/>
        <v>46</v>
      </c>
      <c r="B52" s="256" t="s">
        <v>674</v>
      </c>
      <c r="C52" s="351">
        <v>45763</v>
      </c>
      <c r="D52" s="343" t="s">
        <v>1024</v>
      </c>
      <c r="E52" s="255"/>
      <c r="F52" s="255"/>
      <c r="G52" s="255"/>
      <c r="H52" s="255"/>
      <c r="I52" s="255"/>
      <c r="J52" s="255"/>
      <c r="K52" s="255"/>
      <c r="L52" s="255"/>
      <c r="M52" s="343">
        <v>271282</v>
      </c>
      <c r="N52" s="343"/>
      <c r="O52" s="255">
        <f t="shared" si="3"/>
        <v>271282</v>
      </c>
    </row>
    <row r="53" spans="1:15" x14ac:dyDescent="0.25">
      <c r="A53" s="2">
        <f t="shared" si="2"/>
        <v>47</v>
      </c>
      <c r="B53" s="256" t="s">
        <v>655</v>
      </c>
      <c r="C53" s="351">
        <v>45768</v>
      </c>
      <c r="D53" s="343" t="s">
        <v>1024</v>
      </c>
      <c r="E53" s="255"/>
      <c r="F53" s="255"/>
      <c r="G53" s="255"/>
      <c r="H53" s="255"/>
      <c r="I53" s="255"/>
      <c r="J53" s="255"/>
      <c r="K53" s="255"/>
      <c r="L53" s="255"/>
      <c r="M53" s="343">
        <v>259101.2</v>
      </c>
      <c r="N53" s="343"/>
      <c r="O53" s="255">
        <f t="shared" si="3"/>
        <v>259101.2</v>
      </c>
    </row>
    <row r="54" spans="1:15" x14ac:dyDescent="0.25">
      <c r="A54" s="2">
        <f t="shared" si="2"/>
        <v>48</v>
      </c>
      <c r="B54" s="256" t="s">
        <v>726</v>
      </c>
      <c r="C54" s="351">
        <v>45770</v>
      </c>
      <c r="D54" s="343" t="s">
        <v>1024</v>
      </c>
      <c r="E54" s="255"/>
      <c r="F54" s="255"/>
      <c r="G54" s="255"/>
      <c r="H54" s="255"/>
      <c r="I54" s="255"/>
      <c r="J54" s="255"/>
      <c r="K54" s="255"/>
      <c r="L54" s="255"/>
      <c r="M54" s="343">
        <v>9300</v>
      </c>
      <c r="N54" s="343"/>
      <c r="O54" s="255">
        <f t="shared" si="3"/>
        <v>9300</v>
      </c>
    </row>
    <row r="55" spans="1:15" x14ac:dyDescent="0.25">
      <c r="A55" s="2">
        <f t="shared" si="2"/>
        <v>49</v>
      </c>
      <c r="B55" s="256" t="s">
        <v>676</v>
      </c>
      <c r="C55" s="351">
        <v>45772</v>
      </c>
      <c r="D55" s="343" t="s">
        <v>1024</v>
      </c>
      <c r="E55" s="255"/>
      <c r="F55" s="255"/>
      <c r="G55" s="255"/>
      <c r="H55" s="255"/>
      <c r="I55" s="255"/>
      <c r="J55" s="255"/>
      <c r="K55" s="255"/>
      <c r="L55" s="255"/>
      <c r="M55" s="343">
        <v>239687.5</v>
      </c>
      <c r="N55" s="343"/>
      <c r="O55" s="255">
        <f t="shared" si="3"/>
        <v>239687.5</v>
      </c>
    </row>
    <row r="56" spans="1:15" x14ac:dyDescent="0.25">
      <c r="A56" s="2">
        <f t="shared" si="2"/>
        <v>50</v>
      </c>
      <c r="B56" s="256" t="s">
        <v>726</v>
      </c>
      <c r="C56" s="351">
        <v>45777</v>
      </c>
      <c r="D56" s="343" t="s">
        <v>1024</v>
      </c>
      <c r="E56" s="255"/>
      <c r="F56" s="255"/>
      <c r="G56" s="255"/>
      <c r="H56" s="255"/>
      <c r="I56" s="255"/>
      <c r="J56" s="255"/>
      <c r="K56" s="255"/>
      <c r="L56" s="255"/>
      <c r="M56" s="343">
        <v>11760</v>
      </c>
      <c r="N56" s="343"/>
      <c r="O56" s="255">
        <f t="shared" si="3"/>
        <v>11760</v>
      </c>
    </row>
    <row r="57" spans="1:15" x14ac:dyDescent="0.25">
      <c r="A57" s="2">
        <f t="shared" si="2"/>
        <v>51</v>
      </c>
      <c r="B57" s="256" t="s">
        <v>741</v>
      </c>
      <c r="C57" s="351">
        <v>45777</v>
      </c>
      <c r="D57" s="343" t="s">
        <v>1024</v>
      </c>
      <c r="E57" s="255"/>
      <c r="F57" s="255"/>
      <c r="G57" s="255"/>
      <c r="H57" s="255"/>
      <c r="I57" s="255"/>
      <c r="J57" s="255"/>
      <c r="K57" s="255"/>
      <c r="L57" s="255"/>
      <c r="M57" s="343">
        <v>24000</v>
      </c>
      <c r="N57" s="343"/>
      <c r="O57" s="255">
        <f t="shared" si="3"/>
        <v>24000</v>
      </c>
    </row>
    <row r="58" spans="1:15" x14ac:dyDescent="0.25">
      <c r="A58" s="2">
        <f t="shared" si="2"/>
        <v>52</v>
      </c>
      <c r="B58" s="256" t="s">
        <v>686</v>
      </c>
      <c r="C58" s="351">
        <v>45778</v>
      </c>
      <c r="D58" s="343" t="s">
        <v>1024</v>
      </c>
      <c r="E58" s="255"/>
      <c r="F58" s="255"/>
      <c r="G58" s="255"/>
      <c r="H58" s="255"/>
      <c r="I58" s="255"/>
      <c r="J58" s="255"/>
      <c r="K58" s="255"/>
      <c r="L58" s="255"/>
      <c r="M58" s="255"/>
      <c r="N58" s="343">
        <v>18500</v>
      </c>
      <c r="O58" s="255">
        <f t="shared" si="3"/>
        <v>18500</v>
      </c>
    </row>
    <row r="59" spans="1:15" x14ac:dyDescent="0.25">
      <c r="A59" s="2">
        <f t="shared" si="2"/>
        <v>53</v>
      </c>
      <c r="B59" s="256" t="s">
        <v>902</v>
      </c>
      <c r="C59" s="351">
        <v>45778</v>
      </c>
      <c r="D59" s="343" t="s">
        <v>1024</v>
      </c>
      <c r="E59" s="255"/>
      <c r="F59" s="255"/>
      <c r="G59" s="255"/>
      <c r="H59" s="255"/>
      <c r="I59" s="255"/>
      <c r="J59" s="255"/>
      <c r="K59" s="255"/>
      <c r="L59" s="255"/>
      <c r="M59" s="255"/>
      <c r="N59" s="343">
        <v>174761.32</v>
      </c>
      <c r="O59" s="255">
        <f t="shared" si="3"/>
        <v>174761.32</v>
      </c>
    </row>
    <row r="60" spans="1:15" x14ac:dyDescent="0.25">
      <c r="A60" s="2">
        <f t="shared" si="2"/>
        <v>54</v>
      </c>
      <c r="B60" s="256" t="s">
        <v>902</v>
      </c>
      <c r="C60" s="351">
        <v>45779</v>
      </c>
      <c r="D60" s="343" t="s">
        <v>1024</v>
      </c>
      <c r="E60" s="255"/>
      <c r="F60" s="255"/>
      <c r="G60" s="255"/>
      <c r="H60" s="255"/>
      <c r="I60" s="255"/>
      <c r="J60" s="255"/>
      <c r="K60" s="255"/>
      <c r="L60" s="255"/>
      <c r="M60" s="255"/>
      <c r="N60" s="343">
        <v>271990</v>
      </c>
      <c r="O60" s="255">
        <f t="shared" si="3"/>
        <v>271990</v>
      </c>
    </row>
    <row r="61" spans="1:15" x14ac:dyDescent="0.25">
      <c r="A61" s="2">
        <f t="shared" si="2"/>
        <v>55</v>
      </c>
      <c r="B61" s="256" t="s">
        <v>738</v>
      </c>
      <c r="C61" s="351">
        <v>45783</v>
      </c>
      <c r="D61" s="343" t="s">
        <v>1024</v>
      </c>
      <c r="E61" s="255"/>
      <c r="F61" s="255"/>
      <c r="G61" s="255"/>
      <c r="H61" s="255"/>
      <c r="I61" s="255"/>
      <c r="J61" s="255"/>
      <c r="K61" s="255"/>
      <c r="L61" s="255"/>
      <c r="M61" s="255"/>
      <c r="N61" s="343">
        <v>1726315.04</v>
      </c>
      <c r="O61" s="255">
        <f t="shared" si="3"/>
        <v>1726315.04</v>
      </c>
    </row>
    <row r="62" spans="1:15" x14ac:dyDescent="0.25">
      <c r="A62" s="2">
        <f t="shared" si="2"/>
        <v>56</v>
      </c>
      <c r="B62" s="256" t="s">
        <v>660</v>
      </c>
      <c r="C62" s="351">
        <v>45784</v>
      </c>
      <c r="D62" s="343" t="s">
        <v>1024</v>
      </c>
      <c r="E62" s="255"/>
      <c r="F62" s="255"/>
      <c r="G62" s="255"/>
      <c r="H62" s="255"/>
      <c r="I62" s="255"/>
      <c r="J62" s="255"/>
      <c r="K62" s="255"/>
      <c r="L62" s="255"/>
      <c r="M62" s="255"/>
      <c r="N62" s="343">
        <v>254532.85</v>
      </c>
      <c r="O62" s="255">
        <f t="shared" si="3"/>
        <v>254532.85</v>
      </c>
    </row>
    <row r="63" spans="1:15" x14ac:dyDescent="0.25">
      <c r="A63" s="2">
        <f t="shared" si="2"/>
        <v>57</v>
      </c>
      <c r="B63" s="256" t="s">
        <v>660</v>
      </c>
      <c r="C63" s="351">
        <v>45784</v>
      </c>
      <c r="D63" s="343" t="s">
        <v>1024</v>
      </c>
      <c r="E63" s="255"/>
      <c r="F63" s="255"/>
      <c r="G63" s="255"/>
      <c r="H63" s="255"/>
      <c r="I63" s="255"/>
      <c r="J63" s="255"/>
      <c r="K63" s="255"/>
      <c r="L63" s="255"/>
      <c r="M63" s="255"/>
      <c r="N63" s="343">
        <v>259599.95</v>
      </c>
      <c r="O63" s="255">
        <f t="shared" si="3"/>
        <v>259599.95</v>
      </c>
    </row>
    <row r="64" spans="1:15" x14ac:dyDescent="0.25">
      <c r="A64" s="2">
        <f t="shared" si="2"/>
        <v>58</v>
      </c>
      <c r="B64" s="256" t="s">
        <v>660</v>
      </c>
      <c r="C64" s="351">
        <v>45784</v>
      </c>
      <c r="D64" s="343" t="s">
        <v>1024</v>
      </c>
      <c r="E64" s="255"/>
      <c r="F64" s="255"/>
      <c r="G64" s="255"/>
      <c r="H64" s="255"/>
      <c r="I64" s="255"/>
      <c r="J64" s="255"/>
      <c r="K64" s="255"/>
      <c r="L64" s="255"/>
      <c r="M64" s="255"/>
      <c r="N64" s="343">
        <v>262738.81</v>
      </c>
      <c r="O64" s="255">
        <f t="shared" si="3"/>
        <v>262738.81</v>
      </c>
    </row>
    <row r="65" spans="1:15" x14ac:dyDescent="0.25">
      <c r="A65" s="2">
        <f t="shared" si="2"/>
        <v>59</v>
      </c>
      <c r="B65" s="256" t="s">
        <v>737</v>
      </c>
      <c r="C65" s="351">
        <v>45784</v>
      </c>
      <c r="D65" s="343" t="s">
        <v>1024</v>
      </c>
      <c r="E65" s="255"/>
      <c r="F65" s="255"/>
      <c r="G65" s="255"/>
      <c r="H65" s="255"/>
      <c r="I65" s="255"/>
      <c r="J65" s="255"/>
      <c r="K65" s="255"/>
      <c r="L65" s="255"/>
      <c r="M65" s="255"/>
      <c r="N65" s="343">
        <v>272005.90999999997</v>
      </c>
      <c r="O65" s="255">
        <f t="shared" si="3"/>
        <v>272005.90999999997</v>
      </c>
    </row>
    <row r="66" spans="1:15" x14ac:dyDescent="0.25">
      <c r="A66" s="2">
        <f t="shared" si="2"/>
        <v>60</v>
      </c>
      <c r="B66" s="256" t="s">
        <v>654</v>
      </c>
      <c r="C66" s="351">
        <v>45790</v>
      </c>
      <c r="D66" s="343" t="s">
        <v>1024</v>
      </c>
      <c r="E66" s="255"/>
      <c r="F66" s="255"/>
      <c r="G66" s="255"/>
      <c r="H66" s="255"/>
      <c r="I66" s="255"/>
      <c r="J66" s="255"/>
      <c r="K66" s="255"/>
      <c r="L66" s="255"/>
      <c r="M66" s="255"/>
      <c r="N66" s="343">
        <v>214259.64</v>
      </c>
      <c r="O66" s="255">
        <f t="shared" si="3"/>
        <v>214259.64</v>
      </c>
    </row>
    <row r="67" spans="1:15" x14ac:dyDescent="0.25">
      <c r="A67" s="2">
        <f t="shared" si="2"/>
        <v>61</v>
      </c>
      <c r="B67" s="256" t="s">
        <v>690</v>
      </c>
      <c r="C67" s="351">
        <v>45792</v>
      </c>
      <c r="D67" s="343" t="s">
        <v>1024</v>
      </c>
      <c r="E67" s="255"/>
      <c r="F67" s="255"/>
      <c r="G67" s="255"/>
      <c r="H67" s="255"/>
      <c r="I67" s="255"/>
      <c r="J67" s="255"/>
      <c r="K67" s="255"/>
      <c r="L67" s="255"/>
      <c r="M67" s="255"/>
      <c r="N67" s="343">
        <v>42000</v>
      </c>
      <c r="O67" s="255">
        <f t="shared" si="3"/>
        <v>42000</v>
      </c>
    </row>
    <row r="68" spans="1:15" x14ac:dyDescent="0.25">
      <c r="A68" s="2">
        <f t="shared" si="2"/>
        <v>62</v>
      </c>
      <c r="B68" s="256" t="s">
        <v>690</v>
      </c>
      <c r="C68" s="351">
        <v>45792</v>
      </c>
      <c r="D68" s="343" t="s">
        <v>1024</v>
      </c>
      <c r="E68" s="255"/>
      <c r="F68" s="255"/>
      <c r="G68" s="255"/>
      <c r="H68" s="255"/>
      <c r="I68" s="255"/>
      <c r="J68" s="255"/>
      <c r="K68" s="255"/>
      <c r="L68" s="255"/>
      <c r="M68" s="255"/>
      <c r="N68" s="343">
        <v>170000</v>
      </c>
      <c r="O68" s="255">
        <f t="shared" si="3"/>
        <v>170000</v>
      </c>
    </row>
    <row r="69" spans="1:15" x14ac:dyDescent="0.25">
      <c r="A69" s="2">
        <f t="shared" si="2"/>
        <v>63</v>
      </c>
      <c r="B69" s="256" t="s">
        <v>1001</v>
      </c>
      <c r="C69" s="351">
        <v>45792</v>
      </c>
      <c r="D69" s="343" t="s">
        <v>1024</v>
      </c>
      <c r="E69" s="255"/>
      <c r="F69" s="255"/>
      <c r="G69" s="255"/>
      <c r="H69" s="255"/>
      <c r="I69" s="255"/>
      <c r="J69" s="255"/>
      <c r="K69" s="255"/>
      <c r="L69" s="255"/>
      <c r="M69" s="255"/>
      <c r="N69" s="343">
        <v>194700</v>
      </c>
      <c r="O69" s="255">
        <f t="shared" si="3"/>
        <v>194700</v>
      </c>
    </row>
    <row r="70" spans="1:15" x14ac:dyDescent="0.25">
      <c r="A70" s="2">
        <f t="shared" si="2"/>
        <v>64</v>
      </c>
      <c r="B70" s="256" t="s">
        <v>690</v>
      </c>
      <c r="C70" s="351">
        <v>45792</v>
      </c>
      <c r="D70" s="343" t="s">
        <v>1024</v>
      </c>
      <c r="E70" s="255"/>
      <c r="F70" s="255"/>
      <c r="G70" s="255"/>
      <c r="H70" s="255"/>
      <c r="I70" s="255"/>
      <c r="J70" s="255"/>
      <c r="K70" s="255"/>
      <c r="L70" s="255"/>
      <c r="M70" s="255"/>
      <c r="N70" s="343">
        <v>210000</v>
      </c>
      <c r="O70" s="255">
        <f t="shared" si="3"/>
        <v>210000</v>
      </c>
    </row>
    <row r="71" spans="1:15" x14ac:dyDescent="0.25">
      <c r="A71" s="2">
        <f t="shared" si="2"/>
        <v>65</v>
      </c>
      <c r="B71" s="256" t="s">
        <v>1003</v>
      </c>
      <c r="C71" s="351">
        <v>45792</v>
      </c>
      <c r="D71" s="343" t="s">
        <v>1024</v>
      </c>
      <c r="E71" s="255"/>
      <c r="F71" s="255"/>
      <c r="G71" s="255"/>
      <c r="H71" s="255"/>
      <c r="I71" s="255"/>
      <c r="J71" s="255"/>
      <c r="K71" s="255"/>
      <c r="L71" s="255"/>
      <c r="M71" s="255"/>
      <c r="N71" s="343">
        <v>342842.66</v>
      </c>
      <c r="O71" s="255">
        <f t="shared" si="3"/>
        <v>342842.66</v>
      </c>
    </row>
    <row r="72" spans="1:15" x14ac:dyDescent="0.25">
      <c r="A72" s="2">
        <f t="shared" si="2"/>
        <v>66</v>
      </c>
      <c r="B72" s="256" t="s">
        <v>723</v>
      </c>
      <c r="C72" s="351">
        <v>45792</v>
      </c>
      <c r="D72" s="343" t="s">
        <v>1024</v>
      </c>
      <c r="E72" s="255"/>
      <c r="F72" s="255"/>
      <c r="G72" s="255"/>
      <c r="H72" s="255"/>
      <c r="I72" s="255"/>
      <c r="J72" s="255"/>
      <c r="K72" s="255"/>
      <c r="L72" s="255"/>
      <c r="M72" s="255"/>
      <c r="N72" s="343">
        <v>2030308</v>
      </c>
      <c r="O72" s="255">
        <f t="shared" si="3"/>
        <v>2030308</v>
      </c>
    </row>
    <row r="73" spans="1:15" x14ac:dyDescent="0.25">
      <c r="A73" s="2">
        <f t="shared" si="2"/>
        <v>67</v>
      </c>
      <c r="B73" s="256" t="s">
        <v>999</v>
      </c>
      <c r="C73" s="351">
        <v>45793</v>
      </c>
      <c r="D73" s="343" t="s">
        <v>1024</v>
      </c>
      <c r="E73" s="255"/>
      <c r="F73" s="255"/>
      <c r="G73" s="255"/>
      <c r="H73" s="255"/>
      <c r="I73" s="255"/>
      <c r="J73" s="255"/>
      <c r="K73" s="255"/>
      <c r="L73" s="255"/>
      <c r="M73" s="255"/>
      <c r="N73" s="343">
        <v>165099.70000000001</v>
      </c>
      <c r="O73" s="255">
        <f t="shared" si="3"/>
        <v>165099.70000000001</v>
      </c>
    </row>
    <row r="74" spans="1:15" x14ac:dyDescent="0.25">
      <c r="A74" s="2">
        <f t="shared" si="2"/>
        <v>68</v>
      </c>
      <c r="B74" s="256" t="s">
        <v>722</v>
      </c>
      <c r="C74" s="351">
        <v>45796</v>
      </c>
      <c r="D74" s="343" t="s">
        <v>1024</v>
      </c>
      <c r="E74" s="255"/>
      <c r="F74" s="255"/>
      <c r="G74" s="255"/>
      <c r="H74" s="255"/>
      <c r="I74" s="255"/>
      <c r="J74" s="255"/>
      <c r="K74" s="255"/>
      <c r="L74" s="255"/>
      <c r="M74" s="255"/>
      <c r="N74" s="343">
        <v>57820</v>
      </c>
      <c r="O74" s="255">
        <f t="shared" si="3"/>
        <v>57820</v>
      </c>
    </row>
    <row r="75" spans="1:15" x14ac:dyDescent="0.25">
      <c r="A75" s="2">
        <f t="shared" si="2"/>
        <v>69</v>
      </c>
      <c r="B75" s="256" t="s">
        <v>671</v>
      </c>
      <c r="C75" s="351">
        <v>45796</v>
      </c>
      <c r="D75" s="343" t="s">
        <v>1024</v>
      </c>
      <c r="E75" s="255"/>
      <c r="F75" s="255"/>
      <c r="G75" s="255"/>
      <c r="H75" s="255"/>
      <c r="I75" s="255"/>
      <c r="J75" s="255"/>
      <c r="K75" s="255"/>
      <c r="L75" s="255"/>
      <c r="M75" s="255"/>
      <c r="N75" s="343">
        <v>163920</v>
      </c>
      <c r="O75" s="255">
        <f t="shared" si="3"/>
        <v>163920</v>
      </c>
    </row>
    <row r="76" spans="1:15" x14ac:dyDescent="0.25">
      <c r="A76" s="2">
        <f t="shared" si="2"/>
        <v>70</v>
      </c>
      <c r="B76" s="256" t="s">
        <v>722</v>
      </c>
      <c r="C76" s="351">
        <v>45796</v>
      </c>
      <c r="D76" s="343" t="s">
        <v>1024</v>
      </c>
      <c r="E76" s="255"/>
      <c r="F76" s="255"/>
      <c r="G76" s="255"/>
      <c r="H76" s="255"/>
      <c r="I76" s="255"/>
      <c r="J76" s="255"/>
      <c r="K76" s="255"/>
      <c r="L76" s="255"/>
      <c r="M76" s="255"/>
      <c r="N76" s="343">
        <v>264000</v>
      </c>
      <c r="O76" s="255">
        <f t="shared" si="3"/>
        <v>264000</v>
      </c>
    </row>
    <row r="77" spans="1:15" x14ac:dyDescent="0.25">
      <c r="A77" s="2">
        <v>1</v>
      </c>
      <c r="B77" s="256" t="s">
        <v>660</v>
      </c>
      <c r="C77" s="351">
        <v>45798</v>
      </c>
      <c r="D77" s="343" t="s">
        <v>1024</v>
      </c>
      <c r="E77" s="255"/>
      <c r="F77" s="255"/>
      <c r="G77" s="255"/>
      <c r="H77" s="255"/>
      <c r="I77" s="255"/>
      <c r="J77" s="255"/>
      <c r="K77" s="255"/>
      <c r="L77" s="255"/>
      <c r="M77" s="255"/>
      <c r="N77" s="343">
        <v>40275.82</v>
      </c>
      <c r="O77" s="255">
        <f t="shared" si="3"/>
        <v>40275.82</v>
      </c>
    </row>
    <row r="78" spans="1:15" x14ac:dyDescent="0.25">
      <c r="A78" s="2">
        <f>+A77+1</f>
        <v>2</v>
      </c>
      <c r="B78" s="256" t="s">
        <v>660</v>
      </c>
      <c r="C78" s="351">
        <v>45798</v>
      </c>
      <c r="D78" s="343" t="s">
        <v>1024</v>
      </c>
      <c r="E78" s="255"/>
      <c r="F78" s="255"/>
      <c r="G78" s="255"/>
      <c r="H78" s="255"/>
      <c r="I78" s="255"/>
      <c r="J78" s="255"/>
      <c r="K78" s="255"/>
      <c r="L78" s="255"/>
      <c r="M78" s="255"/>
      <c r="N78" s="343">
        <v>196877.8</v>
      </c>
      <c r="O78" s="255">
        <f t="shared" si="3"/>
        <v>196877.8</v>
      </c>
    </row>
    <row r="79" spans="1:15" x14ac:dyDescent="0.25">
      <c r="A79" s="2">
        <f>+A78+1</f>
        <v>3</v>
      </c>
      <c r="B79" s="256" t="s">
        <v>1002</v>
      </c>
      <c r="C79" s="351">
        <v>45799</v>
      </c>
      <c r="D79" s="343" t="s">
        <v>1024</v>
      </c>
      <c r="E79" s="255"/>
      <c r="F79" s="255"/>
      <c r="G79" s="255"/>
      <c r="H79" s="255"/>
      <c r="I79" s="255"/>
      <c r="J79" s="255"/>
      <c r="K79" s="255"/>
      <c r="L79" s="255"/>
      <c r="M79" s="255"/>
      <c r="N79" s="343">
        <v>220500</v>
      </c>
      <c r="O79" s="255">
        <f t="shared" si="3"/>
        <v>220500</v>
      </c>
    </row>
    <row r="80" spans="1:15" x14ac:dyDescent="0.25">
      <c r="A80" s="2">
        <f>+A79+1</f>
        <v>4</v>
      </c>
      <c r="B80" s="256" t="s">
        <v>1002</v>
      </c>
      <c r="C80" s="351">
        <v>45799</v>
      </c>
      <c r="D80" s="343" t="s">
        <v>1024</v>
      </c>
      <c r="E80" s="255"/>
      <c r="F80" s="255"/>
      <c r="G80" s="255"/>
      <c r="H80" s="255"/>
      <c r="I80" s="255"/>
      <c r="J80" s="255"/>
      <c r="K80" s="255"/>
      <c r="L80" s="255"/>
      <c r="M80" s="255"/>
      <c r="N80" s="343">
        <v>220500</v>
      </c>
      <c r="O80" s="255">
        <f t="shared" si="3"/>
        <v>220500</v>
      </c>
    </row>
    <row r="81" spans="1:15" x14ac:dyDescent="0.25">
      <c r="A81" s="2">
        <f>+A80+1</f>
        <v>5</v>
      </c>
      <c r="B81" s="256" t="s">
        <v>742</v>
      </c>
      <c r="C81" s="351">
        <v>45800</v>
      </c>
      <c r="D81" s="343" t="s">
        <v>1024</v>
      </c>
      <c r="E81" s="255"/>
      <c r="F81" s="255"/>
      <c r="G81" s="255"/>
      <c r="H81" s="255"/>
      <c r="I81" s="255"/>
      <c r="J81" s="255"/>
      <c r="K81" s="255"/>
      <c r="L81" s="255"/>
      <c r="M81" s="255"/>
      <c r="N81" s="343">
        <v>668000</v>
      </c>
      <c r="O81" s="255">
        <f t="shared" si="3"/>
        <v>668000</v>
      </c>
    </row>
    <row r="82" spans="1:15" x14ac:dyDescent="0.25">
      <c r="A82" s="2">
        <f>+A81+1</f>
        <v>6</v>
      </c>
      <c r="B82" s="256" t="s">
        <v>1000</v>
      </c>
      <c r="C82" s="351">
        <v>45803</v>
      </c>
      <c r="D82" s="343" t="s">
        <v>1024</v>
      </c>
      <c r="E82" s="255"/>
      <c r="F82" s="255"/>
      <c r="G82" s="255"/>
      <c r="H82" s="255"/>
      <c r="I82" s="255"/>
      <c r="J82" s="255"/>
      <c r="K82" s="255"/>
      <c r="L82" s="255"/>
      <c r="M82" s="255"/>
      <c r="N82" s="343">
        <v>181999.13</v>
      </c>
      <c r="O82" s="255">
        <f t="shared" si="3"/>
        <v>181999.13</v>
      </c>
    </row>
    <row r="83" spans="1:15" x14ac:dyDescent="0.25">
      <c r="A83" s="498" t="s">
        <v>639</v>
      </c>
      <c r="B83" s="499"/>
      <c r="C83" s="499"/>
      <c r="D83" s="499"/>
      <c r="E83" s="259">
        <f>SUM(E7:E82)</f>
        <v>0</v>
      </c>
      <c r="F83" s="259"/>
      <c r="G83" s="259">
        <f t="shared" ref="G83:M83" si="4">SUM(G7:G82)</f>
        <v>0</v>
      </c>
      <c r="H83" s="259">
        <f t="shared" si="4"/>
        <v>1282950.9100000001</v>
      </c>
      <c r="I83" s="259">
        <f t="shared" si="4"/>
        <v>1008626.76</v>
      </c>
      <c r="J83" s="259">
        <f t="shared" si="4"/>
        <v>20060</v>
      </c>
      <c r="K83" s="259">
        <f t="shared" si="4"/>
        <v>137691.84</v>
      </c>
      <c r="L83" s="259">
        <f t="shared" si="4"/>
        <v>3593717.86</v>
      </c>
      <c r="M83" s="259">
        <f t="shared" si="4"/>
        <v>1898698.58</v>
      </c>
      <c r="N83" s="259">
        <f>SUM(N7:N82)</f>
        <v>8623546.6300000008</v>
      </c>
      <c r="O83" s="260">
        <f>SUM(O7:O82)</f>
        <v>16565292.58</v>
      </c>
    </row>
    <row r="84" spans="1:15" x14ac:dyDescent="0.25">
      <c r="O84" s="313"/>
    </row>
    <row r="86" spans="1:15" x14ac:dyDescent="0.25">
      <c r="O86" s="226"/>
    </row>
    <row r="87" spans="1:15" x14ac:dyDescent="0.25">
      <c r="O87" s="226"/>
    </row>
  </sheetData>
  <sortState ref="A7:D82">
    <sortCondition ref="C7:C82"/>
  </sortState>
  <mergeCells count="4">
    <mergeCell ref="A1:O1"/>
    <mergeCell ref="A2:O2"/>
    <mergeCell ref="A3:O3"/>
    <mergeCell ref="A83:D83"/>
  </mergeCells>
  <pageMargins left="0.7" right="0.7" top="0.75" bottom="0.75" header="0.3" footer="0.3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opLeftCell="A67" zoomScaleNormal="100" workbookViewId="0">
      <selection activeCell="E81" sqref="E81"/>
    </sheetView>
  </sheetViews>
  <sheetFormatPr baseColWidth="10" defaultRowHeight="15" x14ac:dyDescent="0.25"/>
  <cols>
    <col min="1" max="1" width="15.140625" style="186" bestFit="1" customWidth="1"/>
    <col min="2" max="2" width="27.5703125" style="186" bestFit="1" customWidth="1"/>
    <col min="3" max="3" width="6" style="186" customWidth="1"/>
    <col min="4" max="4" width="14.140625" style="186" bestFit="1" customWidth="1"/>
    <col min="5" max="5" width="28.5703125" style="186" bestFit="1" customWidth="1"/>
    <col min="6" max="6" width="0" hidden="1" customWidth="1"/>
    <col min="7" max="7" width="13" style="186" bestFit="1" customWidth="1"/>
    <col min="8" max="8" width="32.7109375" bestFit="1" customWidth="1"/>
  </cols>
  <sheetData>
    <row r="1" spans="1:8" x14ac:dyDescent="0.25">
      <c r="D1" s="186">
        <v>11550</v>
      </c>
      <c r="E1" s="186" t="s">
        <v>985</v>
      </c>
    </row>
    <row r="2" spans="1:8" x14ac:dyDescent="0.25">
      <c r="A2" s="186">
        <v>155606.87</v>
      </c>
      <c r="B2" s="186" t="s">
        <v>717</v>
      </c>
      <c r="D2" s="186">
        <v>3000</v>
      </c>
      <c r="E2" s="186" t="s">
        <v>985</v>
      </c>
      <c r="G2" s="186">
        <v>150000</v>
      </c>
      <c r="H2" t="s">
        <v>980</v>
      </c>
    </row>
    <row r="3" spans="1:8" x14ac:dyDescent="0.25">
      <c r="A3" s="186">
        <v>3199661.24</v>
      </c>
      <c r="B3" s="186" t="s">
        <v>988</v>
      </c>
      <c r="D3" s="186">
        <v>4000</v>
      </c>
      <c r="E3" s="186" t="s">
        <v>985</v>
      </c>
      <c r="G3" s="186">
        <v>15000</v>
      </c>
      <c r="H3" t="s">
        <v>984</v>
      </c>
    </row>
    <row r="4" spans="1:8" x14ac:dyDescent="0.25">
      <c r="A4" s="186">
        <v>50000</v>
      </c>
      <c r="B4" s="186" t="s">
        <v>988</v>
      </c>
      <c r="D4" s="186">
        <v>4000</v>
      </c>
      <c r="E4" s="186" t="s">
        <v>985</v>
      </c>
      <c r="G4" s="186">
        <f>SUM(G2:G3)</f>
        <v>165000</v>
      </c>
    </row>
    <row r="5" spans="1:8" x14ac:dyDescent="0.25">
      <c r="A5" s="186">
        <v>12182.4</v>
      </c>
      <c r="B5" s="186" t="s">
        <v>618</v>
      </c>
      <c r="D5" s="186">
        <v>4000</v>
      </c>
      <c r="E5" s="186" t="s">
        <v>985</v>
      </c>
    </row>
    <row r="6" spans="1:8" x14ac:dyDescent="0.25">
      <c r="A6" s="186">
        <v>84594.85</v>
      </c>
      <c r="B6" s="186" t="s">
        <v>719</v>
      </c>
      <c r="D6" s="186">
        <v>8000</v>
      </c>
      <c r="E6" s="186" t="s">
        <v>985</v>
      </c>
    </row>
    <row r="7" spans="1:8" x14ac:dyDescent="0.25">
      <c r="A7" s="186">
        <v>13000</v>
      </c>
      <c r="B7" s="186" t="s">
        <v>991</v>
      </c>
      <c r="D7" s="186">
        <v>3200</v>
      </c>
      <c r="E7" s="186" t="s">
        <v>985</v>
      </c>
    </row>
    <row r="8" spans="1:8" x14ac:dyDescent="0.25">
      <c r="A8" s="186">
        <v>79987.570000000007</v>
      </c>
      <c r="B8" s="186" t="s">
        <v>992</v>
      </c>
      <c r="D8" s="186">
        <v>4000</v>
      </c>
      <c r="E8" s="186" t="s">
        <v>985</v>
      </c>
    </row>
    <row r="9" spans="1:8" x14ac:dyDescent="0.25">
      <c r="A9" s="186">
        <v>2588374.06</v>
      </c>
      <c r="B9" s="186" t="s">
        <v>989</v>
      </c>
      <c r="D9" s="186">
        <v>4000</v>
      </c>
      <c r="E9" s="186" t="s">
        <v>985</v>
      </c>
    </row>
    <row r="10" spans="1:8" x14ac:dyDescent="0.25">
      <c r="A10" s="186">
        <v>61607.99</v>
      </c>
      <c r="B10" s="186" t="s">
        <v>619</v>
      </c>
      <c r="D10" s="186">
        <v>3500</v>
      </c>
      <c r="E10" s="186" t="s">
        <v>985</v>
      </c>
    </row>
    <row r="11" spans="1:8" x14ac:dyDescent="0.25">
      <c r="A11" s="186">
        <v>54068.800000000003</v>
      </c>
      <c r="B11" s="186" t="s">
        <v>987</v>
      </c>
      <c r="D11" s="186">
        <v>2100</v>
      </c>
      <c r="E11" s="186" t="s">
        <v>985</v>
      </c>
    </row>
    <row r="12" spans="1:8" x14ac:dyDescent="0.25">
      <c r="A12" s="186">
        <v>12721.54</v>
      </c>
      <c r="B12" s="186" t="s">
        <v>987</v>
      </c>
      <c r="D12" s="186">
        <v>3500</v>
      </c>
      <c r="E12" s="186" t="s">
        <v>985</v>
      </c>
    </row>
    <row r="13" spans="1:8" x14ac:dyDescent="0.25">
      <c r="A13" s="186">
        <v>375966.29</v>
      </c>
      <c r="B13" s="186" t="s">
        <v>987</v>
      </c>
      <c r="D13" s="186">
        <v>4000</v>
      </c>
      <c r="E13" s="186" t="s">
        <v>985</v>
      </c>
    </row>
    <row r="14" spans="1:8" x14ac:dyDescent="0.25">
      <c r="A14" s="186">
        <v>304098.74</v>
      </c>
      <c r="B14" s="186" t="s">
        <v>718</v>
      </c>
      <c r="D14" s="186">
        <v>4000</v>
      </c>
      <c r="E14" s="186" t="s">
        <v>985</v>
      </c>
    </row>
    <row r="15" spans="1:8" x14ac:dyDescent="0.25">
      <c r="A15" s="186">
        <v>32863.839999999997</v>
      </c>
      <c r="B15" s="186" t="s">
        <v>990</v>
      </c>
      <c r="D15" s="186">
        <v>7100</v>
      </c>
      <c r="E15" s="186" t="s">
        <v>985</v>
      </c>
    </row>
    <row r="16" spans="1:8" x14ac:dyDescent="0.25">
      <c r="A16" s="186">
        <v>493974.92</v>
      </c>
      <c r="B16" s="186" t="s">
        <v>716</v>
      </c>
      <c r="D16" s="186">
        <v>23600</v>
      </c>
      <c r="E16" s="186" t="s">
        <v>985</v>
      </c>
    </row>
    <row r="17" spans="1:5" x14ac:dyDescent="0.25">
      <c r="A17" s="186">
        <f>SUM(A2:A16)</f>
        <v>7518709.1100000003</v>
      </c>
      <c r="D17" s="186">
        <v>31300</v>
      </c>
      <c r="E17" s="186" t="s">
        <v>985</v>
      </c>
    </row>
    <row r="18" spans="1:5" x14ac:dyDescent="0.25">
      <c r="D18" s="186">
        <v>22000</v>
      </c>
    </row>
    <row r="19" spans="1:5" x14ac:dyDescent="0.25">
      <c r="D19" s="186">
        <v>13900</v>
      </c>
    </row>
    <row r="20" spans="1:5" x14ac:dyDescent="0.25">
      <c r="D20" s="186">
        <f>SUM(D1:D19)</f>
        <v>160750</v>
      </c>
    </row>
    <row r="22" spans="1:5" x14ac:dyDescent="0.25">
      <c r="D22" s="186">
        <v>1000</v>
      </c>
      <c r="E22" s="186" t="s">
        <v>986</v>
      </c>
    </row>
    <row r="23" spans="1:5" x14ac:dyDescent="0.25">
      <c r="D23" s="186">
        <v>1500</v>
      </c>
    </row>
    <row r="24" spans="1:5" x14ac:dyDescent="0.25">
      <c r="D24" s="186">
        <v>1800</v>
      </c>
      <c r="E24" s="186" t="s">
        <v>986</v>
      </c>
    </row>
    <row r="25" spans="1:5" x14ac:dyDescent="0.25">
      <c r="D25" s="186">
        <v>2000</v>
      </c>
    </row>
    <row r="26" spans="1:5" x14ac:dyDescent="0.25">
      <c r="D26" s="186">
        <v>2000</v>
      </c>
    </row>
    <row r="27" spans="1:5" x14ac:dyDescent="0.25">
      <c r="D27" s="186">
        <v>2000</v>
      </c>
    </row>
    <row r="28" spans="1:5" x14ac:dyDescent="0.25">
      <c r="D28" s="186">
        <v>2000</v>
      </c>
    </row>
    <row r="29" spans="1:5" x14ac:dyDescent="0.25">
      <c r="D29" s="186">
        <v>2000</v>
      </c>
    </row>
    <row r="30" spans="1:5" x14ac:dyDescent="0.25">
      <c r="D30" s="186">
        <v>2000</v>
      </c>
    </row>
    <row r="31" spans="1:5" x14ac:dyDescent="0.25">
      <c r="D31" s="186">
        <v>2000</v>
      </c>
    </row>
    <row r="32" spans="1:5" x14ac:dyDescent="0.25">
      <c r="D32" s="186">
        <v>2000</v>
      </c>
    </row>
    <row r="33" spans="4:5" x14ac:dyDescent="0.25">
      <c r="D33" s="186">
        <v>2000</v>
      </c>
    </row>
    <row r="34" spans="4:5" x14ac:dyDescent="0.25">
      <c r="D34" s="186">
        <v>2000</v>
      </c>
    </row>
    <row r="35" spans="4:5" x14ac:dyDescent="0.25">
      <c r="D35" s="186">
        <v>2000</v>
      </c>
    </row>
    <row r="36" spans="4:5" x14ac:dyDescent="0.25">
      <c r="D36" s="186">
        <v>2000</v>
      </c>
    </row>
    <row r="37" spans="4:5" x14ac:dyDescent="0.25">
      <c r="D37" s="186">
        <v>2500</v>
      </c>
    </row>
    <row r="38" spans="4:5" x14ac:dyDescent="0.25">
      <c r="D38" s="186">
        <v>2500</v>
      </c>
      <c r="E38" s="186" t="s">
        <v>986</v>
      </c>
    </row>
    <row r="39" spans="4:5" x14ac:dyDescent="0.25">
      <c r="D39" s="186">
        <v>2800</v>
      </c>
      <c r="E39" s="186" t="s">
        <v>986</v>
      </c>
    </row>
    <row r="40" spans="4:5" x14ac:dyDescent="0.25">
      <c r="D40" s="186">
        <v>2900</v>
      </c>
      <c r="E40" s="186" t="s">
        <v>986</v>
      </c>
    </row>
    <row r="41" spans="4:5" x14ac:dyDescent="0.25">
      <c r="D41" s="186">
        <v>3000</v>
      </c>
    </row>
    <row r="42" spans="4:5" x14ac:dyDescent="0.25">
      <c r="D42" s="186">
        <v>3000</v>
      </c>
    </row>
    <row r="43" spans="4:5" x14ac:dyDescent="0.25">
      <c r="D43" s="186">
        <v>3000</v>
      </c>
    </row>
    <row r="44" spans="4:5" x14ac:dyDescent="0.25">
      <c r="D44" s="186">
        <v>3000</v>
      </c>
    </row>
    <row r="45" spans="4:5" x14ac:dyDescent="0.25">
      <c r="D45" s="186">
        <v>3000</v>
      </c>
    </row>
    <row r="46" spans="4:5" x14ac:dyDescent="0.25">
      <c r="D46" s="186">
        <v>3000</v>
      </c>
    </row>
    <row r="47" spans="4:5" x14ac:dyDescent="0.25">
      <c r="D47" s="186">
        <v>3000</v>
      </c>
    </row>
    <row r="48" spans="4:5" x14ac:dyDescent="0.25">
      <c r="D48" s="186">
        <v>3100</v>
      </c>
      <c r="E48" s="186" t="s">
        <v>986</v>
      </c>
    </row>
    <row r="49" spans="4:5" x14ac:dyDescent="0.25">
      <c r="D49" s="186">
        <v>3500</v>
      </c>
    </row>
    <row r="50" spans="4:5" x14ac:dyDescent="0.25">
      <c r="D50" s="186">
        <v>3500</v>
      </c>
    </row>
    <row r="51" spans="4:5" x14ac:dyDescent="0.25">
      <c r="D51" s="186">
        <v>3700</v>
      </c>
      <c r="E51" s="186" t="s">
        <v>986</v>
      </c>
    </row>
    <row r="52" spans="4:5" x14ac:dyDescent="0.25">
      <c r="D52" s="186">
        <v>3700</v>
      </c>
      <c r="E52" s="186" t="s">
        <v>986</v>
      </c>
    </row>
    <row r="53" spans="4:5" x14ac:dyDescent="0.25">
      <c r="D53" s="186">
        <v>4100</v>
      </c>
      <c r="E53" s="186" t="s">
        <v>986</v>
      </c>
    </row>
    <row r="54" spans="4:5" x14ac:dyDescent="0.25">
      <c r="D54" s="186">
        <v>4400</v>
      </c>
      <c r="E54" s="186" t="s">
        <v>986</v>
      </c>
    </row>
    <row r="55" spans="4:5" x14ac:dyDescent="0.25">
      <c r="D55" s="186">
        <v>4600</v>
      </c>
      <c r="E55" s="186" t="s">
        <v>986</v>
      </c>
    </row>
    <row r="56" spans="4:5" x14ac:dyDescent="0.25">
      <c r="D56" s="186">
        <v>4600</v>
      </c>
      <c r="E56" s="186" t="s">
        <v>986</v>
      </c>
    </row>
    <row r="57" spans="4:5" x14ac:dyDescent="0.25">
      <c r="D57" s="186">
        <v>4700</v>
      </c>
      <c r="E57" s="186" t="s">
        <v>986</v>
      </c>
    </row>
    <row r="58" spans="4:5" x14ac:dyDescent="0.25">
      <c r="D58" s="186">
        <v>4900</v>
      </c>
      <c r="E58" s="186" t="s">
        <v>986</v>
      </c>
    </row>
    <row r="59" spans="4:5" x14ac:dyDescent="0.25">
      <c r="D59" s="186">
        <v>5000</v>
      </c>
    </row>
    <row r="60" spans="4:5" x14ac:dyDescent="0.25">
      <c r="D60" s="186">
        <v>5400</v>
      </c>
      <c r="E60" s="186" t="s">
        <v>986</v>
      </c>
    </row>
    <row r="61" spans="4:5" x14ac:dyDescent="0.25">
      <c r="D61" s="186">
        <v>5400</v>
      </c>
      <c r="E61" s="186" t="s">
        <v>986</v>
      </c>
    </row>
    <row r="62" spans="4:5" x14ac:dyDescent="0.25">
      <c r="D62" s="186">
        <v>5500</v>
      </c>
      <c r="E62" s="186" t="s">
        <v>986</v>
      </c>
    </row>
    <row r="63" spans="4:5" x14ac:dyDescent="0.25">
      <c r="D63" s="186">
        <v>5600</v>
      </c>
      <c r="E63" s="186" t="s">
        <v>986</v>
      </c>
    </row>
    <row r="64" spans="4:5" x14ac:dyDescent="0.25">
      <c r="D64" s="186">
        <v>5750</v>
      </c>
      <c r="E64" s="186" t="s">
        <v>986</v>
      </c>
    </row>
    <row r="65" spans="4:5" x14ac:dyDescent="0.25">
      <c r="D65" s="186">
        <v>5800</v>
      </c>
      <c r="E65" s="186" t="s">
        <v>986</v>
      </c>
    </row>
    <row r="66" spans="4:5" x14ac:dyDescent="0.25">
      <c r="D66" s="186">
        <v>5800</v>
      </c>
    </row>
    <row r="67" spans="4:5" x14ac:dyDescent="0.25">
      <c r="D67" s="186">
        <v>6000</v>
      </c>
      <c r="E67" s="186" t="s">
        <v>986</v>
      </c>
    </row>
    <row r="68" spans="4:5" x14ac:dyDescent="0.25">
      <c r="D68" s="186">
        <v>6200</v>
      </c>
      <c r="E68" s="186" t="s">
        <v>986</v>
      </c>
    </row>
    <row r="69" spans="4:5" x14ac:dyDescent="0.25">
      <c r="D69" s="186">
        <v>7000</v>
      </c>
    </row>
    <row r="70" spans="4:5" x14ac:dyDescent="0.25">
      <c r="D70" s="186">
        <v>7100</v>
      </c>
      <c r="E70" s="186" t="s">
        <v>986</v>
      </c>
    </row>
    <row r="71" spans="4:5" x14ac:dyDescent="0.25">
      <c r="D71" s="186">
        <v>7500</v>
      </c>
      <c r="E71" s="186" t="s">
        <v>986</v>
      </c>
    </row>
    <row r="72" spans="4:5" x14ac:dyDescent="0.25">
      <c r="D72" s="186">
        <v>8800</v>
      </c>
      <c r="E72" s="186" t="s">
        <v>986</v>
      </c>
    </row>
    <row r="73" spans="4:5" x14ac:dyDescent="0.25">
      <c r="D73" s="186">
        <v>9100</v>
      </c>
      <c r="E73" s="186" t="s">
        <v>986</v>
      </c>
    </row>
    <row r="74" spans="4:5" x14ac:dyDescent="0.25">
      <c r="D74" s="186">
        <v>10100</v>
      </c>
      <c r="E74" s="186" t="s">
        <v>986</v>
      </c>
    </row>
    <row r="75" spans="4:5" x14ac:dyDescent="0.25">
      <c r="D75" s="186">
        <v>11600</v>
      </c>
      <c r="E75" s="186" t="s">
        <v>986</v>
      </c>
    </row>
    <row r="76" spans="4:5" x14ac:dyDescent="0.25">
      <c r="D76" s="186">
        <v>11900</v>
      </c>
      <c r="E76" s="186" t="s">
        <v>986</v>
      </c>
    </row>
    <row r="77" spans="4:5" x14ac:dyDescent="0.25">
      <c r="D77" s="186">
        <v>14200</v>
      </c>
      <c r="E77" s="186" t="s">
        <v>986</v>
      </c>
    </row>
    <row r="80" spans="4:5" x14ac:dyDescent="0.25">
      <c r="D80" s="186">
        <f>SUM(D22:D79)</f>
        <v>248550</v>
      </c>
    </row>
    <row r="81" spans="4:4" x14ac:dyDescent="0.25">
      <c r="D81" s="186">
        <f>+D80+D20</f>
        <v>409300</v>
      </c>
    </row>
    <row r="82" spans="4:4" x14ac:dyDescent="0.25">
      <c r="D82" s="186">
        <f>+D80+D20+A17+G4</f>
        <v>8093009.1100000003</v>
      </c>
    </row>
    <row r="83" spans="4:4" x14ac:dyDescent="0.25">
      <c r="D83" s="186">
        <v>8093009.1100000003</v>
      </c>
    </row>
    <row r="84" spans="4:4" x14ac:dyDescent="0.25">
      <c r="D84" s="186">
        <f>+D82-D83</f>
        <v>0</v>
      </c>
    </row>
  </sheetData>
  <sortState ref="D17:E77">
    <sortCondition ref="D17:D77"/>
  </sortState>
  <pageMargins left="0.7" right="0.7" top="0.75" bottom="0.75" header="0.3" footer="0.3"/>
  <pageSetup scale="6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68"/>
  <sheetViews>
    <sheetView view="pageBreakPreview" zoomScale="60" zoomScaleNormal="100" workbookViewId="0">
      <selection activeCell="C8" sqref="C8:D8"/>
    </sheetView>
  </sheetViews>
  <sheetFormatPr baseColWidth="10" defaultRowHeight="15" x14ac:dyDescent="0.25"/>
  <cols>
    <col min="1" max="1" width="26.28515625" bestFit="1" customWidth="1"/>
    <col min="2" max="2" width="39.5703125" bestFit="1" customWidth="1"/>
    <col min="3" max="3" width="24.85546875" customWidth="1"/>
    <col min="4" max="12" width="21.5703125" bestFit="1" customWidth="1"/>
    <col min="13" max="13" width="17.28515625" bestFit="1" customWidth="1"/>
    <col min="14" max="14" width="13.28515625" bestFit="1" customWidth="1"/>
    <col min="15" max="15" width="15.42578125" bestFit="1" customWidth="1"/>
    <col min="16" max="16" width="13.28515625" bestFit="1" customWidth="1"/>
    <col min="17" max="17" width="15.42578125" bestFit="1" customWidth="1"/>
    <col min="18" max="18" width="13.28515625" bestFit="1" customWidth="1"/>
    <col min="19" max="19" width="15.42578125" bestFit="1" customWidth="1"/>
    <col min="20" max="20" width="13.28515625" bestFit="1" customWidth="1"/>
    <col min="21" max="21" width="15.42578125" bestFit="1" customWidth="1"/>
    <col min="22" max="22" width="13.28515625" bestFit="1" customWidth="1"/>
    <col min="23" max="23" width="15.42578125" bestFit="1" customWidth="1"/>
    <col min="24" max="24" width="13.28515625" bestFit="1" customWidth="1"/>
    <col min="25" max="25" width="15.42578125" bestFit="1" customWidth="1"/>
    <col min="26" max="26" width="13.28515625" bestFit="1" customWidth="1"/>
  </cols>
  <sheetData>
    <row r="1" spans="1:26" x14ac:dyDescent="0.25">
      <c r="A1" s="131"/>
      <c r="J1" s="186"/>
      <c r="M1" s="186"/>
    </row>
    <row r="2" spans="1:26" ht="28.5" x14ac:dyDescent="0.45">
      <c r="A2" s="503" t="s">
        <v>587</v>
      </c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87"/>
      <c r="M2" s="186"/>
    </row>
    <row r="3" spans="1:26" ht="23.25" x14ac:dyDescent="0.35">
      <c r="A3" s="504" t="s">
        <v>588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187"/>
      <c r="M3" s="186"/>
    </row>
    <row r="4" spans="1:26" ht="18.75" x14ac:dyDescent="0.3">
      <c r="A4" s="505" t="s">
        <v>589</v>
      </c>
      <c r="B4" s="505"/>
      <c r="C4" s="505"/>
      <c r="D4" s="505"/>
      <c r="E4" s="505"/>
      <c r="F4" s="505"/>
      <c r="G4" s="505"/>
      <c r="H4" s="505"/>
      <c r="I4" s="505"/>
      <c r="J4" s="505"/>
      <c r="K4" s="505"/>
      <c r="L4" s="187"/>
      <c r="M4" s="186"/>
    </row>
    <row r="5" spans="1:26" x14ac:dyDescent="0.25">
      <c r="A5" s="131"/>
      <c r="E5" s="506" t="s">
        <v>590</v>
      </c>
      <c r="F5" s="401"/>
      <c r="J5" s="186"/>
      <c r="M5" s="186"/>
    </row>
    <row r="6" spans="1:26" ht="23.25" x14ac:dyDescent="0.35">
      <c r="A6" s="188" t="s">
        <v>591</v>
      </c>
      <c r="B6" s="188"/>
      <c r="C6" s="188" t="s">
        <v>665</v>
      </c>
      <c r="D6" s="188"/>
      <c r="E6" s="188"/>
      <c r="F6" s="188"/>
      <c r="G6" s="188"/>
      <c r="H6" s="188"/>
      <c r="I6" s="188"/>
      <c r="J6" s="189"/>
      <c r="K6" s="190"/>
      <c r="L6" s="191"/>
      <c r="M6" s="192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4"/>
    </row>
    <row r="7" spans="1:26" ht="15.75" thickBot="1" x14ac:dyDescent="0.3">
      <c r="A7" s="195"/>
      <c r="B7" s="196"/>
      <c r="C7" s="196"/>
      <c r="D7" s="196"/>
      <c r="E7" s="196"/>
      <c r="F7" s="196"/>
      <c r="G7" s="196"/>
      <c r="H7" s="196"/>
      <c r="I7" s="196"/>
      <c r="J7" s="197"/>
      <c r="K7" s="196"/>
      <c r="L7" s="196"/>
      <c r="M7" s="186"/>
    </row>
    <row r="8" spans="1:26" ht="18.75" x14ac:dyDescent="0.25">
      <c r="A8" s="507" t="s">
        <v>568</v>
      </c>
      <c r="B8" s="508"/>
      <c r="C8" s="509" t="s">
        <v>592</v>
      </c>
      <c r="D8" s="510"/>
      <c r="E8" s="500" t="s">
        <v>593</v>
      </c>
      <c r="F8" s="500"/>
      <c r="G8" s="500" t="s">
        <v>594</v>
      </c>
      <c r="H8" s="500"/>
      <c r="I8" s="500" t="s">
        <v>595</v>
      </c>
      <c r="J8" s="500"/>
      <c r="K8" s="500" t="s">
        <v>596</v>
      </c>
      <c r="L8" s="500"/>
      <c r="M8" s="500" t="s">
        <v>597</v>
      </c>
      <c r="N8" s="500"/>
      <c r="O8" s="500" t="s">
        <v>598</v>
      </c>
      <c r="P8" s="500"/>
      <c r="Q8" s="500" t="s">
        <v>599</v>
      </c>
      <c r="R8" s="500"/>
      <c r="S8" s="500" t="s">
        <v>600</v>
      </c>
      <c r="T8" s="500"/>
      <c r="U8" s="500" t="s">
        <v>601</v>
      </c>
      <c r="V8" s="500"/>
      <c r="W8" s="500" t="s">
        <v>602</v>
      </c>
      <c r="X8" s="500"/>
      <c r="Y8" s="500" t="s">
        <v>603</v>
      </c>
      <c r="Z8" s="500"/>
    </row>
    <row r="9" spans="1:26" ht="18.75" x14ac:dyDescent="0.25">
      <c r="A9" s="198"/>
      <c r="B9" s="198"/>
      <c r="C9" s="264" t="s">
        <v>604</v>
      </c>
      <c r="D9" s="264" t="s">
        <v>605</v>
      </c>
      <c r="E9" s="199" t="s">
        <v>604</v>
      </c>
      <c r="F9" s="199" t="s">
        <v>605</v>
      </c>
      <c r="G9" s="199" t="s">
        <v>604</v>
      </c>
      <c r="H9" s="199" t="s">
        <v>605</v>
      </c>
      <c r="I9" s="199" t="s">
        <v>604</v>
      </c>
      <c r="J9" s="200" t="s">
        <v>605</v>
      </c>
      <c r="K9" s="199" t="s">
        <v>604</v>
      </c>
      <c r="L9" s="199" t="s">
        <v>605</v>
      </c>
      <c r="M9" s="200" t="s">
        <v>604</v>
      </c>
      <c r="N9" s="199" t="s">
        <v>605</v>
      </c>
      <c r="O9" s="199" t="s">
        <v>604</v>
      </c>
      <c r="P9" s="199" t="s">
        <v>605</v>
      </c>
      <c r="Q9" s="199" t="s">
        <v>604</v>
      </c>
      <c r="R9" s="199" t="s">
        <v>605</v>
      </c>
      <c r="S9" s="199" t="s">
        <v>604</v>
      </c>
      <c r="T9" s="199" t="s">
        <v>605</v>
      </c>
      <c r="U9" s="199" t="s">
        <v>604</v>
      </c>
      <c r="V9" s="199" t="s">
        <v>605</v>
      </c>
      <c r="W9" s="199" t="s">
        <v>604</v>
      </c>
      <c r="X9" s="199" t="s">
        <v>605</v>
      </c>
      <c r="Y9" s="199" t="s">
        <v>604</v>
      </c>
      <c r="Z9" s="199" t="s">
        <v>605</v>
      </c>
    </row>
    <row r="10" spans="1:26" ht="18.75" x14ac:dyDescent="0.3">
      <c r="A10" s="201">
        <v>1</v>
      </c>
      <c r="B10" s="202" t="s">
        <v>606</v>
      </c>
      <c r="C10" s="203">
        <v>4027257.33</v>
      </c>
      <c r="D10" s="203">
        <v>4833111.5</v>
      </c>
      <c r="E10" s="204">
        <v>4840265.29</v>
      </c>
      <c r="F10" s="204">
        <v>5841673.1500000004</v>
      </c>
      <c r="G10" s="204">
        <f>13000+3146909.72</f>
        <v>3159909.72</v>
      </c>
      <c r="H10" s="204">
        <f>4595181.39+50000</f>
        <v>4645181.3899999997</v>
      </c>
      <c r="I10" s="205">
        <f>6959.16+1939523.55</f>
        <v>1946482.71</v>
      </c>
      <c r="J10" s="204">
        <f>100000+2942930.33+10949.64</f>
        <v>3053879.97</v>
      </c>
      <c r="K10" s="205">
        <v>3199661.24</v>
      </c>
      <c r="L10" s="204">
        <f>3199661.24+50000</f>
        <v>3249661.24</v>
      </c>
      <c r="M10" s="204"/>
      <c r="N10" s="204"/>
      <c r="O10" s="206"/>
      <c r="P10" s="206"/>
      <c r="Q10" s="206"/>
      <c r="R10" s="206"/>
      <c r="S10" s="206"/>
      <c r="T10" s="206"/>
      <c r="U10" s="205"/>
      <c r="V10" s="205"/>
      <c r="W10" s="205"/>
      <c r="X10" s="205"/>
      <c r="Y10" s="205"/>
      <c r="Z10" s="207"/>
    </row>
    <row r="11" spans="1:26" ht="18.75" x14ac:dyDescent="0.3">
      <c r="A11" s="201">
        <v>2</v>
      </c>
      <c r="B11" s="202" t="s">
        <v>607</v>
      </c>
      <c r="C11" s="203">
        <v>1094583.75</v>
      </c>
      <c r="D11" s="203"/>
      <c r="E11" s="204">
        <v>2417181.13</v>
      </c>
      <c r="F11" s="204">
        <v>2152926.5099999998</v>
      </c>
      <c r="G11" s="204">
        <v>2645113.9</v>
      </c>
      <c r="H11" s="204">
        <v>1041144.31</v>
      </c>
      <c r="I11" s="205">
        <v>3267715.24</v>
      </c>
      <c r="J11" s="204">
        <v>2326714.9500000002</v>
      </c>
      <c r="K11" s="205">
        <v>2490193.7200000002</v>
      </c>
      <c r="L11" s="204">
        <v>2588374.06</v>
      </c>
      <c r="M11" s="204"/>
      <c r="N11" s="204"/>
      <c r="O11" s="206"/>
      <c r="P11" s="206"/>
      <c r="Q11" s="206"/>
      <c r="R11" s="206"/>
      <c r="S11" s="206"/>
      <c r="T11" s="206"/>
      <c r="U11" s="205"/>
      <c r="V11" s="205"/>
      <c r="W11" s="205"/>
      <c r="X11" s="205"/>
      <c r="Y11" s="205"/>
      <c r="Z11" s="207"/>
    </row>
    <row r="12" spans="1:26" ht="18.75" x14ac:dyDescent="0.3">
      <c r="A12" s="201"/>
      <c r="B12" s="202" t="s">
        <v>608</v>
      </c>
      <c r="C12" s="203">
        <v>0</v>
      </c>
      <c r="D12" s="203">
        <v>0</v>
      </c>
      <c r="E12" s="204">
        <v>10985.64</v>
      </c>
      <c r="F12" s="204"/>
      <c r="G12" s="204">
        <v>0</v>
      </c>
      <c r="H12" s="204"/>
      <c r="I12" s="204"/>
      <c r="J12" s="204"/>
      <c r="K12" s="205">
        <v>2134.86</v>
      </c>
      <c r="L12" s="204">
        <v>13000</v>
      </c>
      <c r="M12" s="204"/>
      <c r="N12" s="204"/>
      <c r="O12" s="206"/>
      <c r="P12" s="206"/>
      <c r="Q12" s="206"/>
      <c r="R12" s="206"/>
      <c r="S12" s="206"/>
      <c r="T12" s="206"/>
      <c r="U12" s="205"/>
      <c r="V12" s="205"/>
      <c r="W12" s="205"/>
      <c r="X12" s="205"/>
      <c r="Y12" s="205"/>
      <c r="Z12" s="205"/>
    </row>
    <row r="13" spans="1:26" ht="18.75" x14ac:dyDescent="0.3">
      <c r="A13" s="501" t="s">
        <v>609</v>
      </c>
      <c r="B13" s="501"/>
      <c r="C13" s="208">
        <f t="shared" ref="C13:Z13" si="0">SUM(C10:C12)</f>
        <v>5121841.08</v>
      </c>
      <c r="D13" s="208">
        <f t="shared" si="0"/>
        <v>4833111.5</v>
      </c>
      <c r="E13" s="209">
        <f t="shared" si="0"/>
        <v>7268432.0599999996</v>
      </c>
      <c r="F13" s="209">
        <f t="shared" si="0"/>
        <v>7994599.6600000001</v>
      </c>
      <c r="G13" s="209">
        <f t="shared" si="0"/>
        <v>5805023.6200000001</v>
      </c>
      <c r="H13" s="209">
        <f t="shared" si="0"/>
        <v>5686325.6999999993</v>
      </c>
      <c r="I13" s="209">
        <f t="shared" si="0"/>
        <v>5214197.95</v>
      </c>
      <c r="J13" s="210">
        <f t="shared" si="0"/>
        <v>5380594.9199999999</v>
      </c>
      <c r="K13" s="211">
        <f t="shared" si="0"/>
        <v>5691989.8200000012</v>
      </c>
      <c r="L13" s="209">
        <f t="shared" si="0"/>
        <v>5851035.3000000007</v>
      </c>
      <c r="M13" s="210">
        <f t="shared" si="0"/>
        <v>0</v>
      </c>
      <c r="N13" s="209">
        <f t="shared" si="0"/>
        <v>0</v>
      </c>
      <c r="O13" s="211">
        <f t="shared" si="0"/>
        <v>0</v>
      </c>
      <c r="P13" s="211">
        <f t="shared" si="0"/>
        <v>0</v>
      </c>
      <c r="Q13" s="211">
        <f t="shared" si="0"/>
        <v>0</v>
      </c>
      <c r="R13" s="211">
        <f t="shared" si="0"/>
        <v>0</v>
      </c>
      <c r="S13" s="211">
        <f t="shared" si="0"/>
        <v>0</v>
      </c>
      <c r="T13" s="211">
        <f t="shared" si="0"/>
        <v>0</v>
      </c>
      <c r="U13" s="211">
        <f t="shared" si="0"/>
        <v>0</v>
      </c>
      <c r="V13" s="211">
        <f t="shared" si="0"/>
        <v>0</v>
      </c>
      <c r="W13" s="211">
        <f t="shared" si="0"/>
        <v>0</v>
      </c>
      <c r="X13" s="211">
        <f t="shared" si="0"/>
        <v>0</v>
      </c>
      <c r="Y13" s="211">
        <f t="shared" si="0"/>
        <v>0</v>
      </c>
      <c r="Z13" s="211">
        <f t="shared" si="0"/>
        <v>0</v>
      </c>
    </row>
    <row r="14" spans="1:26" ht="18.75" x14ac:dyDescent="0.3">
      <c r="A14" s="201">
        <v>3</v>
      </c>
      <c r="B14" s="202" t="s">
        <v>610</v>
      </c>
      <c r="C14" s="203">
        <v>211714.57</v>
      </c>
      <c r="D14" s="212">
        <v>206908.45</v>
      </c>
      <c r="E14" s="204">
        <f>65463.45+12918.96+311477.59</f>
        <v>389860</v>
      </c>
      <c r="F14" s="204"/>
      <c r="G14" s="204">
        <f>53140.7+6743.06+130031.72</f>
        <v>189915.47999999998</v>
      </c>
      <c r="H14" s="204">
        <f>16298.76+15397.47+30434.4+65463.45+12863.4+155572.92+309977.48+504</f>
        <v>606511.88</v>
      </c>
      <c r="I14" s="205">
        <f>54068.8+12721.58+382067.66</f>
        <v>448858.04</v>
      </c>
      <c r="J14" s="204">
        <f>51140.7+129754.16+6696.74</f>
        <v>187591.59999999998</v>
      </c>
      <c r="K14" s="205">
        <f>47703.2+8425.36+117128.56</f>
        <v>173257.12</v>
      </c>
      <c r="L14" s="204">
        <f>54068.8+12721.54+375966.29</f>
        <v>442756.63</v>
      </c>
      <c r="M14" s="204"/>
      <c r="N14" s="213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</row>
    <row r="15" spans="1:26" ht="18.75" x14ac:dyDescent="0.3">
      <c r="A15" s="201">
        <v>4</v>
      </c>
      <c r="B15" s="202" t="s">
        <v>611</v>
      </c>
      <c r="C15" s="203"/>
      <c r="D15" s="203"/>
      <c r="E15" s="204"/>
      <c r="F15" s="204"/>
      <c r="G15" s="204"/>
      <c r="H15" s="204"/>
      <c r="I15" s="205"/>
      <c r="J15" s="204"/>
      <c r="K15" s="205"/>
      <c r="L15" s="213"/>
      <c r="M15" s="204"/>
      <c r="N15" s="204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</row>
    <row r="16" spans="1:26" ht="18.75" x14ac:dyDescent="0.3">
      <c r="A16" s="201">
        <v>5</v>
      </c>
      <c r="B16" s="202" t="s">
        <v>612</v>
      </c>
      <c r="C16" s="203">
        <v>275352.44</v>
      </c>
      <c r="D16" s="203">
        <v>156983.54999999999</v>
      </c>
      <c r="E16" s="204">
        <v>222716.34</v>
      </c>
      <c r="F16" s="204">
        <v>272552.44</v>
      </c>
      <c r="G16" s="204">
        <v>73918.679999999993</v>
      </c>
      <c r="H16" s="204">
        <v>222620.34</v>
      </c>
      <c r="I16" s="205"/>
      <c r="J16" s="204">
        <v>73057.08</v>
      </c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 spans="1:26" ht="18.75" x14ac:dyDescent="0.3">
      <c r="A17" s="201">
        <v>6</v>
      </c>
      <c r="B17" s="202" t="s">
        <v>577</v>
      </c>
      <c r="C17" s="203">
        <v>7848.94</v>
      </c>
      <c r="D17" s="203">
        <v>55135.74</v>
      </c>
      <c r="E17" s="204">
        <v>14338.35</v>
      </c>
      <c r="F17" s="204">
        <v>7848.94</v>
      </c>
      <c r="G17" s="204">
        <v>162551.53</v>
      </c>
      <c r="H17" s="204">
        <v>14338.35</v>
      </c>
      <c r="I17" s="205">
        <v>37897.65</v>
      </c>
      <c r="J17" s="204">
        <v>19489.759999999998</v>
      </c>
      <c r="K17" s="204">
        <v>45390.42</v>
      </c>
      <c r="L17" s="204">
        <v>155606.87</v>
      </c>
      <c r="M17" s="204"/>
      <c r="N17" s="204"/>
      <c r="O17" s="204"/>
      <c r="P17" s="204"/>
      <c r="Q17" s="204"/>
      <c r="R17" s="204"/>
      <c r="S17" s="204"/>
      <c r="T17" s="204"/>
      <c r="U17" s="205"/>
      <c r="V17" s="205"/>
      <c r="W17" s="205"/>
      <c r="X17" s="205"/>
      <c r="Y17" s="205"/>
      <c r="Z17" s="205"/>
    </row>
    <row r="18" spans="1:26" ht="18.75" x14ac:dyDescent="0.3">
      <c r="A18" s="201">
        <v>7</v>
      </c>
      <c r="B18" s="202" t="s">
        <v>578</v>
      </c>
      <c r="C18" s="203"/>
      <c r="D18" s="203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5"/>
      <c r="V18" s="205"/>
      <c r="W18" s="214"/>
      <c r="X18" s="214"/>
      <c r="Y18" s="205"/>
      <c r="Z18" s="205"/>
    </row>
    <row r="19" spans="1:26" ht="18.75" x14ac:dyDescent="0.3">
      <c r="A19" s="201">
        <v>8</v>
      </c>
      <c r="B19" s="202" t="s">
        <v>613</v>
      </c>
      <c r="C19" s="203">
        <v>44770.98</v>
      </c>
      <c r="D19" s="203"/>
      <c r="E19" s="204">
        <v>16720.82</v>
      </c>
      <c r="F19" s="204">
        <v>97648.3</v>
      </c>
      <c r="G19" s="204">
        <v>83376.61</v>
      </c>
      <c r="H19" s="204">
        <v>34117.68</v>
      </c>
      <c r="I19" s="205">
        <v>77617.279999999999</v>
      </c>
      <c r="J19" s="204">
        <v>97704.2</v>
      </c>
      <c r="K19" s="204">
        <v>29761.8</v>
      </c>
      <c r="L19" s="204"/>
      <c r="M19" s="204"/>
      <c r="N19" s="204"/>
      <c r="O19" s="204"/>
      <c r="P19" s="204"/>
      <c r="Q19" s="204"/>
      <c r="R19" s="204"/>
      <c r="S19" s="204"/>
      <c r="T19" s="204"/>
      <c r="U19" s="205"/>
      <c r="V19" s="205"/>
      <c r="W19" s="205"/>
      <c r="X19" s="205"/>
      <c r="Y19" s="205"/>
      <c r="Z19" s="205"/>
    </row>
    <row r="20" spans="1:26" ht="18.75" x14ac:dyDescent="0.3">
      <c r="A20" s="201">
        <v>9</v>
      </c>
      <c r="B20" s="202" t="s">
        <v>614</v>
      </c>
      <c r="C20" s="203"/>
      <c r="D20" s="203"/>
      <c r="E20" s="204"/>
      <c r="F20" s="204"/>
      <c r="G20" s="204"/>
      <c r="H20" s="204"/>
      <c r="I20" s="205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5"/>
      <c r="V20" s="205"/>
      <c r="W20" s="205"/>
      <c r="X20" s="205"/>
      <c r="Y20" s="205"/>
      <c r="Z20" s="205"/>
    </row>
    <row r="21" spans="1:26" ht="18.75" x14ac:dyDescent="0.3">
      <c r="A21" s="201">
        <v>10</v>
      </c>
      <c r="B21" s="202" t="s">
        <v>615</v>
      </c>
      <c r="C21" s="203">
        <v>7193.05</v>
      </c>
      <c r="D21" s="203">
        <v>15993.02</v>
      </c>
      <c r="E21" s="204">
        <v>28868.13</v>
      </c>
      <c r="F21" s="204">
        <v>9531.6</v>
      </c>
      <c r="G21" s="204">
        <v>10657.5</v>
      </c>
      <c r="H21" s="204">
        <v>77169.399999999994</v>
      </c>
      <c r="I21" s="205">
        <v>27941.11</v>
      </c>
      <c r="J21" s="204">
        <f>28868.13+6393.05</f>
        <v>35261.18</v>
      </c>
      <c r="K21" s="204">
        <v>99169.27</v>
      </c>
      <c r="L21" s="204"/>
      <c r="M21" s="204"/>
      <c r="N21" s="204"/>
      <c r="O21" s="204"/>
      <c r="P21" s="204"/>
      <c r="Q21" s="204"/>
      <c r="R21" s="204"/>
      <c r="S21" s="204"/>
      <c r="T21" s="204"/>
      <c r="U21" s="215"/>
      <c r="V21" s="205"/>
      <c r="W21" s="205"/>
      <c r="X21" s="205"/>
      <c r="Y21" s="205"/>
      <c r="Z21" s="205"/>
    </row>
    <row r="22" spans="1:26" ht="18.75" x14ac:dyDescent="0.3">
      <c r="A22" s="201">
        <v>11</v>
      </c>
      <c r="B22" s="202" t="s">
        <v>580</v>
      </c>
      <c r="C22" s="203">
        <v>269639.73</v>
      </c>
      <c r="D22" s="203">
        <v>234503.89</v>
      </c>
      <c r="E22" s="204">
        <v>617068.65</v>
      </c>
      <c r="F22" s="204"/>
      <c r="G22" s="204">
        <v>366095.18</v>
      </c>
      <c r="H22" s="204">
        <v>356314.76</v>
      </c>
      <c r="I22" s="205">
        <v>395799.78</v>
      </c>
      <c r="J22" s="204">
        <v>388735.9</v>
      </c>
      <c r="K22" s="204">
        <v>525599.56000000006</v>
      </c>
      <c r="L22" s="204">
        <v>493974.92</v>
      </c>
      <c r="M22" s="204"/>
      <c r="N22" s="204"/>
      <c r="O22" s="204"/>
      <c r="P22" s="204"/>
      <c r="Q22" s="204"/>
      <c r="R22" s="204"/>
      <c r="S22" s="204"/>
      <c r="T22" s="204"/>
      <c r="U22" s="205"/>
      <c r="V22" s="205"/>
      <c r="W22" s="205"/>
      <c r="X22" s="205"/>
      <c r="Y22" s="205"/>
      <c r="Z22" s="205"/>
    </row>
    <row r="23" spans="1:26" ht="18.75" x14ac:dyDescent="0.3">
      <c r="A23" s="201">
        <v>12</v>
      </c>
      <c r="B23" s="202" t="s">
        <v>574</v>
      </c>
      <c r="C23" s="203">
        <v>69588.33</v>
      </c>
      <c r="D23" s="203"/>
      <c r="E23" s="204">
        <v>122630.62</v>
      </c>
      <c r="F23" s="204">
        <v>8262.07</v>
      </c>
      <c r="G23" s="204">
        <v>43770.8</v>
      </c>
      <c r="H23" s="204">
        <v>212345.21</v>
      </c>
      <c r="I23" s="205">
        <v>55860.67</v>
      </c>
      <c r="J23" s="204"/>
      <c r="K23" s="204">
        <v>109234.31</v>
      </c>
      <c r="L23" s="204"/>
      <c r="M23" s="204"/>
      <c r="N23" s="204"/>
      <c r="O23" s="204"/>
      <c r="P23" s="204"/>
      <c r="Q23" s="204"/>
      <c r="R23" s="204"/>
      <c r="S23" s="204"/>
      <c r="T23" s="204"/>
      <c r="U23" s="205"/>
      <c r="V23" s="205"/>
      <c r="W23" s="205"/>
      <c r="X23" s="205"/>
      <c r="Y23" s="205"/>
      <c r="Z23" s="205"/>
    </row>
    <row r="24" spans="1:26" ht="18.75" x14ac:dyDescent="0.3">
      <c r="A24" s="201">
        <v>13</v>
      </c>
      <c r="B24" s="202" t="s">
        <v>573</v>
      </c>
      <c r="C24" s="203"/>
      <c r="D24" s="203"/>
      <c r="E24" s="204"/>
      <c r="F24" s="204"/>
      <c r="G24" s="204"/>
      <c r="H24" s="204"/>
      <c r="I24" s="205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5"/>
      <c r="V24" s="205"/>
      <c r="W24" s="205"/>
      <c r="X24" s="205"/>
      <c r="Y24" s="205"/>
      <c r="Z24" s="205"/>
    </row>
    <row r="25" spans="1:26" ht="18.75" x14ac:dyDescent="0.3">
      <c r="A25" s="201">
        <v>14</v>
      </c>
      <c r="B25" s="202" t="s">
        <v>616</v>
      </c>
      <c r="C25" s="203"/>
      <c r="D25" s="203"/>
      <c r="E25" s="204"/>
      <c r="F25" s="204"/>
      <c r="G25" s="204"/>
      <c r="H25" s="204"/>
      <c r="I25" s="205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5"/>
      <c r="V25" s="205"/>
      <c r="W25" s="205"/>
      <c r="X25" s="205"/>
      <c r="Y25" s="205"/>
      <c r="Z25" s="205"/>
    </row>
    <row r="26" spans="1:26" ht="18.75" x14ac:dyDescent="0.3">
      <c r="A26" s="201">
        <v>15</v>
      </c>
      <c r="B26" s="202" t="s">
        <v>617</v>
      </c>
      <c r="C26" s="203">
        <v>1396</v>
      </c>
      <c r="D26" s="203"/>
      <c r="E26" s="204">
        <v>20821.36</v>
      </c>
      <c r="F26" s="204">
        <v>31949.94</v>
      </c>
      <c r="G26" s="204">
        <v>80842.17</v>
      </c>
      <c r="H26" s="204">
        <v>1396</v>
      </c>
      <c r="I26" s="205">
        <v>32922.74</v>
      </c>
      <c r="J26" s="204"/>
      <c r="K26" s="204">
        <v>3500</v>
      </c>
      <c r="L26" s="204">
        <v>32863.839999999997</v>
      </c>
      <c r="M26" s="204"/>
      <c r="N26" s="204"/>
      <c r="O26" s="204"/>
      <c r="P26" s="204"/>
      <c r="Q26" s="204"/>
      <c r="R26" s="204"/>
      <c r="S26" s="204"/>
      <c r="T26" s="204"/>
      <c r="U26" s="205"/>
      <c r="V26" s="205"/>
      <c r="W26" s="205"/>
      <c r="X26" s="205"/>
      <c r="Y26" s="205"/>
      <c r="Z26" s="205"/>
    </row>
    <row r="27" spans="1:26" ht="18.75" x14ac:dyDescent="0.3">
      <c r="A27" s="201">
        <v>16</v>
      </c>
      <c r="B27" s="202" t="s">
        <v>618</v>
      </c>
      <c r="C27" s="203">
        <v>4869.5200000000004</v>
      </c>
      <c r="D27" s="203">
        <v>6475.14</v>
      </c>
      <c r="E27" s="204">
        <v>102975.46</v>
      </c>
      <c r="F27" s="204">
        <v>4869.5200000000004</v>
      </c>
      <c r="G27" s="204">
        <v>6619.63</v>
      </c>
      <c r="H27" s="204">
        <v>102672.34</v>
      </c>
      <c r="I27" s="205">
        <v>12257.4</v>
      </c>
      <c r="J27" s="204">
        <v>6619.63</v>
      </c>
      <c r="K27" s="204">
        <v>111906.17</v>
      </c>
      <c r="L27" s="204">
        <v>12182.4</v>
      </c>
      <c r="M27" s="204"/>
      <c r="N27" s="204"/>
      <c r="O27" s="204"/>
      <c r="P27" s="204"/>
      <c r="Q27" s="204"/>
      <c r="R27" s="204"/>
      <c r="S27" s="204"/>
      <c r="T27" s="204"/>
      <c r="U27" s="205"/>
      <c r="V27" s="205"/>
      <c r="W27" s="205"/>
      <c r="X27" s="205"/>
      <c r="Y27" s="205"/>
      <c r="Z27" s="205"/>
    </row>
    <row r="28" spans="1:26" ht="18.75" x14ac:dyDescent="0.3">
      <c r="A28" s="201">
        <v>17</v>
      </c>
      <c r="B28" s="202" t="s">
        <v>576</v>
      </c>
      <c r="C28" s="203">
        <v>76159.34</v>
      </c>
      <c r="D28" s="203"/>
      <c r="E28" s="204">
        <v>186957.88</v>
      </c>
      <c r="F28" s="204"/>
      <c r="G28" s="204">
        <v>136798.59</v>
      </c>
      <c r="H28" s="204"/>
      <c r="I28" s="205">
        <v>83229.31</v>
      </c>
      <c r="J28" s="204"/>
      <c r="K28" s="204">
        <v>9976.34</v>
      </c>
      <c r="L28" s="204"/>
      <c r="M28" s="204"/>
      <c r="N28" s="204"/>
      <c r="O28" s="204"/>
      <c r="P28" s="204"/>
      <c r="Q28" s="204"/>
      <c r="R28" s="204"/>
      <c r="S28" s="204"/>
      <c r="T28" s="204"/>
      <c r="U28" s="205"/>
      <c r="V28" s="205"/>
      <c r="W28" s="205"/>
      <c r="X28" s="205"/>
      <c r="Y28" s="205"/>
      <c r="Z28" s="205"/>
    </row>
    <row r="29" spans="1:26" ht="18.75" x14ac:dyDescent="0.3">
      <c r="A29" s="201">
        <v>18</v>
      </c>
      <c r="B29" s="202" t="s">
        <v>579</v>
      </c>
      <c r="C29" s="203">
        <v>75131.09</v>
      </c>
      <c r="D29" s="203">
        <v>71992.2</v>
      </c>
      <c r="E29" s="204">
        <v>146560.32000000001</v>
      </c>
      <c r="F29" s="204"/>
      <c r="G29" s="204">
        <v>85258.31</v>
      </c>
      <c r="H29" s="204">
        <v>237322.18</v>
      </c>
      <c r="I29" s="205">
        <v>119188.62</v>
      </c>
      <c r="J29" s="204">
        <v>146560.32000000001</v>
      </c>
      <c r="K29" s="204">
        <v>58287.88</v>
      </c>
      <c r="L29" s="204">
        <v>84594.85</v>
      </c>
      <c r="M29" s="204"/>
      <c r="N29" s="204"/>
      <c r="O29" s="204"/>
      <c r="P29" s="204"/>
      <c r="Q29" s="204"/>
      <c r="R29" s="204"/>
      <c r="S29" s="204"/>
      <c r="T29" s="204"/>
      <c r="U29" s="205"/>
      <c r="V29" s="205"/>
      <c r="W29" s="205"/>
      <c r="X29" s="205"/>
      <c r="Y29" s="205"/>
      <c r="Z29" s="205"/>
    </row>
    <row r="30" spans="1:26" ht="18.75" x14ac:dyDescent="0.3">
      <c r="A30" s="201">
        <v>19</v>
      </c>
      <c r="B30" s="202" t="s">
        <v>619</v>
      </c>
      <c r="C30" s="203">
        <v>273646.7</v>
      </c>
      <c r="D30" s="203">
        <v>273646.7</v>
      </c>
      <c r="E30" s="204">
        <v>41285.9</v>
      </c>
      <c r="F30" s="204">
        <v>41071.9</v>
      </c>
      <c r="G30" s="204">
        <v>22435.77</v>
      </c>
      <c r="H30" s="204">
        <v>11220.43</v>
      </c>
      <c r="I30" s="205">
        <v>61608.05</v>
      </c>
      <c r="J30" s="204">
        <v>22435.77</v>
      </c>
      <c r="K30" s="204">
        <v>31245</v>
      </c>
      <c r="L30" s="204">
        <v>61607.99</v>
      </c>
      <c r="M30" s="204"/>
      <c r="N30" s="204"/>
      <c r="O30" s="204"/>
      <c r="P30" s="204"/>
      <c r="Q30" s="204"/>
      <c r="R30" s="204"/>
      <c r="S30" s="204"/>
      <c r="T30" s="204"/>
      <c r="U30" s="205"/>
      <c r="V30" s="205"/>
      <c r="W30" s="205"/>
      <c r="X30" s="205"/>
      <c r="Y30" s="205"/>
      <c r="Z30" s="205"/>
    </row>
    <row r="31" spans="1:26" ht="18.75" x14ac:dyDescent="0.3">
      <c r="A31" s="201">
        <v>20</v>
      </c>
      <c r="B31" s="202" t="s">
        <v>620</v>
      </c>
      <c r="C31" s="203">
        <v>48081.02</v>
      </c>
      <c r="D31" s="203">
        <v>48081.02</v>
      </c>
      <c r="E31" s="204">
        <v>217047.26</v>
      </c>
      <c r="F31" s="204"/>
      <c r="G31" s="204">
        <v>79962.77</v>
      </c>
      <c r="H31" s="204"/>
      <c r="I31" s="205">
        <v>61346.15</v>
      </c>
      <c r="J31" s="204"/>
      <c r="K31" s="204">
        <v>57351.74</v>
      </c>
      <c r="L31" s="204">
        <v>79987.570000000007</v>
      </c>
      <c r="M31" s="204"/>
      <c r="N31" s="204"/>
      <c r="O31" s="204"/>
      <c r="P31" s="204"/>
      <c r="Q31" s="204"/>
      <c r="R31" s="204"/>
      <c r="S31" s="204"/>
      <c r="T31" s="204"/>
      <c r="U31" s="205"/>
      <c r="V31" s="205"/>
      <c r="W31" s="206"/>
      <c r="X31" s="206"/>
      <c r="Y31" s="205"/>
      <c r="Z31" s="205"/>
    </row>
    <row r="32" spans="1:26" ht="18.75" x14ac:dyDescent="0.3">
      <c r="A32" s="201">
        <v>21</v>
      </c>
      <c r="B32" s="202" t="s">
        <v>575</v>
      </c>
      <c r="C32" s="203">
        <v>28637.51</v>
      </c>
      <c r="D32" s="203"/>
      <c r="E32" s="204">
        <v>92478.63</v>
      </c>
      <c r="F32" s="204"/>
      <c r="G32" s="204">
        <v>2821.24</v>
      </c>
      <c r="H32" s="204"/>
      <c r="I32" s="205">
        <v>1604</v>
      </c>
      <c r="J32" s="204"/>
      <c r="K32" s="204">
        <v>3360</v>
      </c>
      <c r="L32" s="204"/>
      <c r="M32" s="204"/>
      <c r="N32" s="204"/>
      <c r="O32" s="204"/>
      <c r="P32" s="204"/>
      <c r="Q32" s="204"/>
      <c r="R32" s="204"/>
      <c r="S32" s="204"/>
      <c r="T32" s="204"/>
      <c r="U32" s="205"/>
      <c r="V32" s="205"/>
      <c r="W32" s="206"/>
      <c r="X32" s="206"/>
      <c r="Y32" s="205"/>
      <c r="Z32" s="205"/>
    </row>
    <row r="33" spans="1:26" ht="18.75" x14ac:dyDescent="0.3">
      <c r="A33" s="201">
        <v>22</v>
      </c>
      <c r="B33" s="202" t="s">
        <v>621</v>
      </c>
      <c r="C33" s="203"/>
      <c r="D33" s="203"/>
      <c r="E33" s="204"/>
      <c r="F33" s="204"/>
      <c r="G33" s="204"/>
      <c r="H33" s="204"/>
      <c r="I33" s="205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5"/>
      <c r="V33" s="205"/>
      <c r="W33" s="216"/>
      <c r="X33" s="216"/>
      <c r="Y33" s="205"/>
      <c r="Z33" s="205"/>
    </row>
    <row r="34" spans="1:26" ht="18.75" x14ac:dyDescent="0.3">
      <c r="A34" s="201">
        <v>23</v>
      </c>
      <c r="B34" s="202" t="s">
        <v>622</v>
      </c>
      <c r="C34" s="203"/>
      <c r="D34" s="203"/>
      <c r="E34" s="204"/>
      <c r="F34" s="204"/>
      <c r="G34" s="204"/>
      <c r="H34" s="204"/>
      <c r="I34" s="205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5"/>
      <c r="V34" s="205"/>
      <c r="W34" s="216"/>
      <c r="X34" s="216"/>
      <c r="Y34" s="205"/>
      <c r="Z34" s="205"/>
    </row>
    <row r="35" spans="1:26" ht="18.75" x14ac:dyDescent="0.3">
      <c r="A35" s="201">
        <v>24</v>
      </c>
      <c r="B35" s="202" t="s">
        <v>623</v>
      </c>
      <c r="C35" s="203">
        <v>259154.57</v>
      </c>
      <c r="D35" s="203"/>
      <c r="E35" s="204">
        <v>439967.13</v>
      </c>
      <c r="F35" s="204">
        <v>870590.25</v>
      </c>
      <c r="G35" s="204">
        <v>404678.83</v>
      </c>
      <c r="H35" s="204">
        <v>262926.38</v>
      </c>
      <c r="I35" s="205">
        <v>432554.37</v>
      </c>
      <c r="J35" s="204">
        <v>534014.43000000005</v>
      </c>
      <c r="K35" s="204">
        <v>317521.34000000003</v>
      </c>
      <c r="L35" s="204">
        <v>304098.74</v>
      </c>
      <c r="M35" s="204"/>
      <c r="N35" s="204"/>
      <c r="O35" s="204"/>
      <c r="P35" s="204"/>
      <c r="Q35" s="204"/>
      <c r="R35" s="204"/>
      <c r="S35" s="204"/>
      <c r="T35" s="204"/>
      <c r="U35" s="205"/>
      <c r="V35" s="205"/>
      <c r="W35" s="217"/>
      <c r="X35" s="217"/>
      <c r="Y35" s="205"/>
      <c r="Z35" s="205"/>
    </row>
    <row r="36" spans="1:26" ht="18.75" x14ac:dyDescent="0.3">
      <c r="A36" s="201"/>
      <c r="B36" s="202" t="s">
        <v>998</v>
      </c>
      <c r="C36" s="203"/>
      <c r="D36" s="203"/>
      <c r="E36" s="204"/>
      <c r="F36" s="204"/>
      <c r="G36" s="204"/>
      <c r="H36" s="204"/>
      <c r="I36" s="205"/>
      <c r="J36" s="204"/>
      <c r="K36" s="204">
        <v>80323.320000000007</v>
      </c>
      <c r="L36" s="204"/>
      <c r="M36" s="204"/>
      <c r="N36" s="204"/>
      <c r="O36" s="204"/>
      <c r="P36" s="204"/>
      <c r="Q36" s="204"/>
      <c r="R36" s="204"/>
      <c r="S36" s="204"/>
      <c r="T36" s="204"/>
      <c r="U36" s="205"/>
      <c r="V36" s="205"/>
      <c r="W36" s="217"/>
      <c r="X36" s="217"/>
      <c r="Y36" s="205"/>
      <c r="Z36" s="205"/>
    </row>
    <row r="37" spans="1:26" ht="18.75" x14ac:dyDescent="0.3">
      <c r="A37" s="501" t="s">
        <v>624</v>
      </c>
      <c r="B37" s="501"/>
      <c r="C37" s="208">
        <f t="shared" ref="C37:F37" si="1">SUM(C14:C35)</f>
        <v>1653183.79</v>
      </c>
      <c r="D37" s="208">
        <f t="shared" si="1"/>
        <v>1069719.71</v>
      </c>
      <c r="E37" s="208">
        <f t="shared" si="1"/>
        <v>2660296.85</v>
      </c>
      <c r="F37" s="208">
        <f t="shared" si="1"/>
        <v>1344324.96</v>
      </c>
      <c r="G37" s="208">
        <f t="shared" ref="G37:Z37" si="2">SUM(G14:G35)</f>
        <v>1749703.0900000003</v>
      </c>
      <c r="H37" s="208">
        <f t="shared" si="2"/>
        <v>2138954.9500000002</v>
      </c>
      <c r="I37" s="209">
        <f t="shared" si="2"/>
        <v>1848685.17</v>
      </c>
      <c r="J37" s="210">
        <f t="shared" si="2"/>
        <v>1511469.87</v>
      </c>
      <c r="K37" s="211">
        <f>SUM(K14:K36)</f>
        <v>1655884.27</v>
      </c>
      <c r="L37" s="209">
        <f t="shared" si="2"/>
        <v>1667673.81</v>
      </c>
      <c r="M37" s="210">
        <f t="shared" si="2"/>
        <v>0</v>
      </c>
      <c r="N37" s="209">
        <f t="shared" si="2"/>
        <v>0</v>
      </c>
      <c r="O37" s="211">
        <f t="shared" si="2"/>
        <v>0</v>
      </c>
      <c r="P37" s="211">
        <f t="shared" si="2"/>
        <v>0</v>
      </c>
      <c r="Q37" s="211">
        <f t="shared" si="2"/>
        <v>0</v>
      </c>
      <c r="R37" s="211">
        <f t="shared" si="2"/>
        <v>0</v>
      </c>
      <c r="S37" s="211">
        <f t="shared" si="2"/>
        <v>0</v>
      </c>
      <c r="T37" s="211">
        <f t="shared" si="2"/>
        <v>0</v>
      </c>
      <c r="U37" s="211">
        <f t="shared" si="2"/>
        <v>0</v>
      </c>
      <c r="V37" s="211">
        <f t="shared" si="2"/>
        <v>0</v>
      </c>
      <c r="W37" s="211">
        <f t="shared" si="2"/>
        <v>0</v>
      </c>
      <c r="X37" s="211">
        <f t="shared" si="2"/>
        <v>0</v>
      </c>
      <c r="Y37" s="211">
        <f t="shared" si="2"/>
        <v>0</v>
      </c>
      <c r="Z37" s="211">
        <f t="shared" si="2"/>
        <v>0</v>
      </c>
    </row>
    <row r="38" spans="1:26" ht="18.75" x14ac:dyDescent="0.25">
      <c r="A38" s="502" t="s">
        <v>536</v>
      </c>
      <c r="B38" s="502"/>
      <c r="C38" s="218">
        <f t="shared" ref="C38:Z38" si="3">C13+C37</f>
        <v>6775024.8700000001</v>
      </c>
      <c r="D38" s="218">
        <f t="shared" si="3"/>
        <v>5902831.21</v>
      </c>
      <c r="E38" s="218">
        <f t="shared" si="3"/>
        <v>9928728.9100000001</v>
      </c>
      <c r="F38" s="218">
        <f t="shared" si="3"/>
        <v>9338924.620000001</v>
      </c>
      <c r="G38" s="218">
        <f t="shared" si="3"/>
        <v>7554726.7100000009</v>
      </c>
      <c r="H38" s="218">
        <f t="shared" si="3"/>
        <v>7825280.6499999994</v>
      </c>
      <c r="I38" s="218">
        <f t="shared" si="3"/>
        <v>7062883.1200000001</v>
      </c>
      <c r="J38" s="200">
        <f t="shared" si="3"/>
        <v>6892064.79</v>
      </c>
      <c r="K38" s="218">
        <f t="shared" si="3"/>
        <v>7347874.0900000017</v>
      </c>
      <c r="L38" s="218">
        <f t="shared" si="3"/>
        <v>7518709.1100000013</v>
      </c>
      <c r="M38" s="200">
        <f t="shared" si="3"/>
        <v>0</v>
      </c>
      <c r="N38" s="218">
        <f t="shared" si="3"/>
        <v>0</v>
      </c>
      <c r="O38" s="218">
        <f t="shared" si="3"/>
        <v>0</v>
      </c>
      <c r="P38" s="218">
        <f t="shared" si="3"/>
        <v>0</v>
      </c>
      <c r="Q38" s="218">
        <f t="shared" si="3"/>
        <v>0</v>
      </c>
      <c r="R38" s="218">
        <f t="shared" si="3"/>
        <v>0</v>
      </c>
      <c r="S38" s="218">
        <f t="shared" si="3"/>
        <v>0</v>
      </c>
      <c r="T38" s="218">
        <f t="shared" si="3"/>
        <v>0</v>
      </c>
      <c r="U38" s="218">
        <f t="shared" si="3"/>
        <v>0</v>
      </c>
      <c r="V38" s="218">
        <f t="shared" si="3"/>
        <v>0</v>
      </c>
      <c r="W38" s="218">
        <f t="shared" si="3"/>
        <v>0</v>
      </c>
      <c r="X38" s="218">
        <f t="shared" si="3"/>
        <v>0</v>
      </c>
      <c r="Y38" s="218">
        <f t="shared" si="3"/>
        <v>0</v>
      </c>
      <c r="Z38" s="218">
        <f t="shared" si="3"/>
        <v>0</v>
      </c>
    </row>
    <row r="39" spans="1:26" ht="18.75" x14ac:dyDescent="0.25">
      <c r="A39" s="219"/>
      <c r="B39" s="219"/>
      <c r="C39" s="220"/>
      <c r="D39" s="220"/>
      <c r="E39" s="220"/>
      <c r="F39" s="220"/>
      <c r="G39" s="220"/>
      <c r="H39" s="220"/>
      <c r="I39" s="220"/>
      <c r="J39" s="221"/>
      <c r="K39" s="220"/>
      <c r="L39" s="220"/>
      <c r="M39" s="221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 spans="1:26" ht="18.75" x14ac:dyDescent="0.3">
      <c r="A40" s="222" t="s">
        <v>625</v>
      </c>
      <c r="C40" s="223"/>
      <c r="D40" s="223"/>
      <c r="E40" s="187"/>
      <c r="F40" s="223"/>
      <c r="G40" s="187"/>
      <c r="H40" s="187"/>
      <c r="I40" s="187"/>
      <c r="J40" s="224"/>
      <c r="K40" s="187"/>
      <c r="L40" s="225"/>
      <c r="M40" s="186" t="s">
        <v>590</v>
      </c>
      <c r="W40" s="226"/>
      <c r="Y40" s="226"/>
    </row>
    <row r="41" spans="1:26" ht="18.75" x14ac:dyDescent="0.3">
      <c r="A41" s="227" t="s">
        <v>626</v>
      </c>
      <c r="B41" s="140"/>
      <c r="C41" s="223"/>
      <c r="D41" s="223"/>
      <c r="E41" s="228"/>
      <c r="F41" s="223"/>
      <c r="G41" s="187"/>
      <c r="H41" s="187"/>
      <c r="I41" s="187"/>
      <c r="J41" s="224"/>
      <c r="K41" s="187"/>
      <c r="L41" s="225"/>
      <c r="M41" s="186"/>
    </row>
    <row r="42" spans="1:26" ht="18.75" x14ac:dyDescent="0.25">
      <c r="B42" s="229"/>
      <c r="C42" s="230"/>
      <c r="D42" s="230"/>
      <c r="E42" s="230"/>
      <c r="F42" s="230"/>
      <c r="G42" s="230"/>
      <c r="H42" s="230"/>
      <c r="I42" s="230"/>
      <c r="J42" s="231"/>
      <c r="K42" s="230"/>
      <c r="L42" s="229"/>
      <c r="M42" s="186"/>
    </row>
    <row r="43" spans="1:26" ht="18.75" x14ac:dyDescent="0.3">
      <c r="B43" s="232"/>
      <c r="C43" s="233"/>
      <c r="D43" s="233"/>
      <c r="E43" s="233"/>
      <c r="F43" s="234"/>
      <c r="G43" s="235"/>
      <c r="H43" s="235"/>
      <c r="I43" s="235"/>
      <c r="J43" s="236"/>
      <c r="K43" s="235"/>
      <c r="L43" s="232"/>
      <c r="M43" s="186"/>
    </row>
    <row r="44" spans="1:26" ht="18.75" x14ac:dyDescent="0.3">
      <c r="B44" s="232"/>
      <c r="C44" s="233"/>
      <c r="D44" s="233"/>
      <c r="E44" s="233"/>
      <c r="F44" s="234"/>
      <c r="G44" s="235"/>
      <c r="H44" s="235"/>
      <c r="I44" s="235"/>
      <c r="J44" s="236"/>
      <c r="K44" s="235"/>
      <c r="L44" s="232"/>
      <c r="M44" s="186"/>
    </row>
    <row r="45" spans="1:26" ht="18.75" x14ac:dyDescent="0.3">
      <c r="B45" s="232"/>
      <c r="C45" s="233"/>
      <c r="D45" s="233"/>
      <c r="E45" s="233"/>
      <c r="F45" s="234"/>
      <c r="G45" s="235"/>
      <c r="H45" s="235"/>
      <c r="I45" s="235"/>
      <c r="J45" s="236"/>
      <c r="K45" s="235"/>
      <c r="L45" s="232"/>
      <c r="M45" s="186"/>
    </row>
    <row r="46" spans="1:26" ht="18.75" x14ac:dyDescent="0.3">
      <c r="B46" s="232"/>
      <c r="C46" s="233"/>
      <c r="D46" s="233"/>
      <c r="E46" s="233"/>
      <c r="F46" s="234"/>
      <c r="G46" s="235"/>
      <c r="H46" s="235"/>
      <c r="I46" s="235"/>
      <c r="J46" s="236"/>
      <c r="K46" s="235"/>
      <c r="L46" s="232"/>
      <c r="M46" s="186"/>
    </row>
    <row r="47" spans="1:26" ht="18.75" x14ac:dyDescent="0.3">
      <c r="B47" s="232"/>
      <c r="C47" s="233"/>
      <c r="D47" s="233"/>
      <c r="E47" s="233"/>
      <c r="F47" s="234"/>
      <c r="G47" s="235"/>
      <c r="H47" s="235"/>
      <c r="I47" s="235"/>
      <c r="J47" s="236"/>
      <c r="K47" s="235"/>
      <c r="L47" s="232"/>
      <c r="M47" s="186"/>
    </row>
    <row r="48" spans="1:26" ht="18.75" x14ac:dyDescent="0.3">
      <c r="B48" s="232"/>
      <c r="C48" s="233"/>
      <c r="D48" s="233"/>
      <c r="E48" s="233"/>
      <c r="F48" s="234"/>
      <c r="G48" s="235"/>
      <c r="H48" s="235"/>
      <c r="I48" s="235"/>
      <c r="J48" s="236"/>
      <c r="K48" s="235"/>
      <c r="L48" s="232"/>
      <c r="M48" s="186"/>
    </row>
    <row r="49" spans="2:13" ht="18.75" x14ac:dyDescent="0.3">
      <c r="B49" s="232"/>
      <c r="C49" s="233"/>
      <c r="D49" s="233"/>
      <c r="E49" s="233"/>
      <c r="F49" s="234"/>
      <c r="G49" s="235"/>
      <c r="H49" s="235"/>
      <c r="I49" s="235"/>
      <c r="J49" s="236"/>
      <c r="K49" s="235"/>
      <c r="L49" s="232"/>
      <c r="M49" s="186"/>
    </row>
    <row r="50" spans="2:13" ht="18.75" x14ac:dyDescent="0.3">
      <c r="B50" s="232"/>
      <c r="C50" s="233"/>
      <c r="D50" s="233"/>
      <c r="E50" s="233"/>
      <c r="F50" s="234"/>
      <c r="G50" s="235"/>
      <c r="H50" s="235"/>
      <c r="I50" s="235"/>
      <c r="J50" s="236"/>
      <c r="K50" s="235"/>
      <c r="L50" s="232"/>
      <c r="M50" s="186"/>
    </row>
    <row r="51" spans="2:13" ht="18.75" x14ac:dyDescent="0.3">
      <c r="B51" s="232"/>
      <c r="C51" s="233"/>
      <c r="D51" s="233"/>
      <c r="E51" s="233"/>
      <c r="F51" s="234"/>
      <c r="G51" s="235"/>
      <c r="H51" s="235"/>
      <c r="I51" s="235"/>
      <c r="J51" s="236"/>
      <c r="K51" s="235"/>
      <c r="L51" s="232"/>
      <c r="M51" s="186"/>
    </row>
    <row r="52" spans="2:13" ht="18.75" x14ac:dyDescent="0.3">
      <c r="B52" s="232"/>
      <c r="C52" s="233"/>
      <c r="D52" s="233"/>
      <c r="E52" s="233"/>
      <c r="F52" s="234"/>
      <c r="G52" s="235"/>
      <c r="H52" s="235"/>
      <c r="I52" s="235"/>
      <c r="J52" s="236"/>
      <c r="K52" s="235"/>
      <c r="L52" s="232"/>
      <c r="M52" s="186"/>
    </row>
    <row r="53" spans="2:13" ht="18.75" x14ac:dyDescent="0.3">
      <c r="B53" s="232"/>
      <c r="C53" s="233"/>
      <c r="D53" s="233"/>
      <c r="E53" s="233"/>
      <c r="F53" s="234"/>
      <c r="G53" s="235"/>
      <c r="H53" s="235"/>
      <c r="I53" s="235"/>
      <c r="J53" s="236"/>
      <c r="K53" s="235"/>
      <c r="L53" s="232"/>
      <c r="M53" s="186"/>
    </row>
    <row r="54" spans="2:13" ht="18.75" x14ac:dyDescent="0.3">
      <c r="B54" s="232"/>
      <c r="C54" s="233"/>
      <c r="D54" s="233"/>
      <c r="E54" s="233"/>
      <c r="F54" s="234"/>
      <c r="G54" s="235"/>
      <c r="H54" s="235"/>
      <c r="I54" s="235"/>
      <c r="J54" s="236"/>
      <c r="K54" s="235"/>
      <c r="L54" s="232"/>
      <c r="M54" s="186"/>
    </row>
    <row r="55" spans="2:13" ht="18.75" x14ac:dyDescent="0.3">
      <c r="B55" s="237"/>
      <c r="C55" s="238"/>
      <c r="D55" s="238"/>
      <c r="E55" s="238"/>
      <c r="F55" s="238"/>
      <c r="G55" s="187"/>
      <c r="H55" s="187"/>
      <c r="I55" s="187"/>
      <c r="J55" s="224"/>
      <c r="K55" s="187"/>
      <c r="L55" s="237"/>
      <c r="M55" s="186"/>
    </row>
    <row r="56" spans="2:13" ht="18.75" x14ac:dyDescent="0.3">
      <c r="B56" s="239"/>
      <c r="C56" s="187"/>
      <c r="D56" s="187"/>
      <c r="E56" s="187"/>
      <c r="F56" s="187"/>
      <c r="G56" s="187"/>
      <c r="H56" s="187"/>
      <c r="I56" s="187"/>
      <c r="J56" s="224"/>
      <c r="K56" s="187"/>
      <c r="L56" s="239"/>
      <c r="M56" s="186"/>
    </row>
    <row r="57" spans="2:13" ht="18.75" x14ac:dyDescent="0.25">
      <c r="B57" s="229"/>
      <c r="C57" s="230"/>
      <c r="D57" s="230"/>
      <c r="E57" s="230"/>
      <c r="F57" s="230"/>
      <c r="G57" s="230"/>
      <c r="H57" s="230"/>
      <c r="I57" s="230"/>
      <c r="J57" s="231"/>
      <c r="K57" s="230"/>
      <c r="L57" s="229"/>
      <c r="M57" s="186"/>
    </row>
    <row r="58" spans="2:13" ht="18.75" x14ac:dyDescent="0.3">
      <c r="B58" s="225"/>
      <c r="C58" s="223"/>
      <c r="D58" s="223"/>
      <c r="E58" s="187"/>
      <c r="F58" s="223"/>
      <c r="G58" s="187"/>
      <c r="H58" s="187"/>
      <c r="I58" s="187"/>
      <c r="J58" s="224"/>
      <c r="K58" s="187"/>
      <c r="L58" s="225"/>
      <c r="M58" s="186"/>
    </row>
    <row r="59" spans="2:13" ht="18.75" x14ac:dyDescent="0.3">
      <c r="B59" s="225"/>
      <c r="C59" s="223"/>
      <c r="D59" s="223"/>
      <c r="E59" s="187"/>
      <c r="F59" s="223"/>
      <c r="G59" s="187"/>
      <c r="H59" s="187"/>
      <c r="I59" s="187"/>
      <c r="J59" s="224"/>
      <c r="K59" s="187"/>
      <c r="L59" s="225"/>
      <c r="M59" s="186"/>
    </row>
    <row r="60" spans="2:13" ht="18.75" x14ac:dyDescent="0.3">
      <c r="B60" s="225"/>
      <c r="C60" s="223"/>
      <c r="D60" s="223"/>
      <c r="E60" s="187"/>
      <c r="F60" s="223"/>
      <c r="G60" s="187"/>
      <c r="H60" s="187"/>
      <c r="I60" s="187"/>
      <c r="J60" s="224"/>
      <c r="K60" s="187"/>
      <c r="L60" s="225"/>
      <c r="M60" s="186"/>
    </row>
    <row r="61" spans="2:13" ht="18.75" x14ac:dyDescent="0.3">
      <c r="B61" s="225" t="s">
        <v>590</v>
      </c>
      <c r="C61" s="223"/>
      <c r="D61" s="223"/>
      <c r="E61" s="187"/>
      <c r="F61" s="223"/>
      <c r="G61" s="187"/>
      <c r="H61" s="187"/>
      <c r="I61" s="187"/>
      <c r="J61" s="224"/>
      <c r="K61" s="187"/>
      <c r="L61" s="225"/>
      <c r="M61" s="186"/>
    </row>
    <row r="62" spans="2:13" ht="18.75" x14ac:dyDescent="0.3">
      <c r="B62" s="225"/>
      <c r="C62" s="223"/>
      <c r="D62" s="223"/>
      <c r="E62" s="187"/>
      <c r="F62" s="223"/>
      <c r="G62" s="187"/>
      <c r="H62" s="187"/>
      <c r="I62" s="187"/>
      <c r="J62" s="224"/>
      <c r="K62" s="187"/>
      <c r="L62" s="225"/>
      <c r="M62" s="186"/>
    </row>
    <row r="63" spans="2:13" ht="18.75" x14ac:dyDescent="0.3">
      <c r="B63" s="225"/>
      <c r="C63" s="223"/>
      <c r="D63" s="223"/>
      <c r="E63" s="187"/>
      <c r="F63" s="223"/>
      <c r="G63" s="187"/>
      <c r="H63" s="187"/>
      <c r="I63" s="187"/>
      <c r="J63" s="224"/>
      <c r="K63" s="187"/>
      <c r="L63" s="225"/>
      <c r="M63" s="186"/>
    </row>
    <row r="64" spans="2:13" ht="18.75" x14ac:dyDescent="0.3">
      <c r="B64" s="225"/>
      <c r="C64" s="223"/>
      <c r="D64" s="223"/>
      <c r="E64" s="187"/>
      <c r="F64" s="223"/>
      <c r="G64" s="187"/>
      <c r="H64" s="187"/>
      <c r="I64" s="187"/>
      <c r="J64" s="224"/>
      <c r="K64" s="187"/>
      <c r="L64" s="225"/>
      <c r="M64" s="186"/>
    </row>
    <row r="65" spans="2:13" ht="18.75" x14ac:dyDescent="0.3">
      <c r="B65" s="239"/>
      <c r="C65" s="187"/>
      <c r="D65" s="187"/>
      <c r="E65" s="187"/>
      <c r="F65" s="187"/>
      <c r="G65" s="187"/>
      <c r="H65" s="187"/>
      <c r="I65" s="187"/>
      <c r="J65" s="224"/>
      <c r="K65" s="187"/>
      <c r="L65" s="239"/>
      <c r="M65" s="186"/>
    </row>
    <row r="66" spans="2:13" ht="18.75" x14ac:dyDescent="0.3">
      <c r="B66" s="239"/>
      <c r="C66" s="187"/>
      <c r="D66" s="187"/>
      <c r="E66" s="187"/>
      <c r="F66" s="187"/>
      <c r="G66" s="187"/>
      <c r="H66" s="187"/>
      <c r="I66" s="187"/>
      <c r="J66" s="224"/>
      <c r="K66" s="187"/>
      <c r="L66" s="239"/>
      <c r="M66" s="186"/>
    </row>
    <row r="67" spans="2:13" ht="18.75" x14ac:dyDescent="0.3">
      <c r="B67" s="239"/>
      <c r="C67" s="187"/>
      <c r="D67" s="187"/>
      <c r="E67" s="187"/>
      <c r="F67" s="187"/>
      <c r="G67" s="187"/>
      <c r="H67" s="187"/>
      <c r="I67" s="187"/>
      <c r="J67" s="224"/>
      <c r="K67" s="187"/>
      <c r="L67" s="239"/>
      <c r="M67" s="186"/>
    </row>
    <row r="68" spans="2:13" ht="18.75" x14ac:dyDescent="0.3">
      <c r="B68" s="239"/>
      <c r="C68" s="187"/>
      <c r="D68" s="187"/>
      <c r="E68" s="187"/>
      <c r="F68" s="187"/>
      <c r="G68" s="187"/>
      <c r="H68" s="187"/>
      <c r="I68" s="187"/>
      <c r="J68" s="224"/>
      <c r="K68" s="187"/>
      <c r="L68" s="239"/>
      <c r="M68" s="186"/>
    </row>
  </sheetData>
  <mergeCells count="20">
    <mergeCell ref="A2:K2"/>
    <mergeCell ref="A3:K3"/>
    <mergeCell ref="A4:K4"/>
    <mergeCell ref="E5:F5"/>
    <mergeCell ref="A8:B8"/>
    <mergeCell ref="C8:D8"/>
    <mergeCell ref="E8:F8"/>
    <mergeCell ref="G8:H8"/>
    <mergeCell ref="I8:J8"/>
    <mergeCell ref="K8:L8"/>
    <mergeCell ref="Y8:Z8"/>
    <mergeCell ref="A13:B13"/>
    <mergeCell ref="A37:B37"/>
    <mergeCell ref="A38:B38"/>
    <mergeCell ref="M8:N8"/>
    <mergeCell ref="O8:P8"/>
    <mergeCell ref="Q8:R8"/>
    <mergeCell ref="S8:T8"/>
    <mergeCell ref="U8:V8"/>
    <mergeCell ref="W8:X8"/>
  </mergeCells>
  <pageMargins left="0.7" right="0.7" top="0.75" bottom="0.75" header="0.3" footer="0.3"/>
  <pageSetup scale="98" orientation="portrait" r:id="rId1"/>
  <rowBreaks count="1" manualBreakCount="1">
    <brk id="38" max="16383" man="1"/>
  </rowBreaks>
  <colBreaks count="1" manualBreakCount="1">
    <brk id="12" max="1048575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F14" sqref="F14"/>
    </sheetView>
  </sheetViews>
  <sheetFormatPr baseColWidth="10" defaultRowHeight="15" x14ac:dyDescent="0.25"/>
  <cols>
    <col min="1" max="1" width="27.7109375" customWidth="1"/>
    <col min="2" max="2" width="17.5703125" customWidth="1"/>
    <col min="3" max="3" width="17.85546875" bestFit="1" customWidth="1"/>
    <col min="4" max="4" width="18.5703125" customWidth="1"/>
    <col min="5" max="5" width="20.140625" customWidth="1"/>
  </cols>
  <sheetData>
    <row r="1" spans="1:6" ht="22.5" x14ac:dyDescent="0.3">
      <c r="A1" s="496" t="s">
        <v>627</v>
      </c>
      <c r="B1" s="496"/>
      <c r="C1" s="496"/>
      <c r="D1" s="496"/>
      <c r="E1" s="496"/>
      <c r="F1" s="496"/>
    </row>
    <row r="2" spans="1:6" ht="22.5" x14ac:dyDescent="0.3">
      <c r="A2" s="511" t="s">
        <v>566</v>
      </c>
      <c r="B2" s="511"/>
      <c r="C2" s="511"/>
      <c r="D2" s="511"/>
      <c r="E2" s="511"/>
    </row>
    <row r="3" spans="1:6" ht="22.5" x14ac:dyDescent="0.3">
      <c r="A3" s="512" t="s">
        <v>628</v>
      </c>
      <c r="B3" s="512"/>
      <c r="C3" s="512"/>
      <c r="D3" s="512"/>
      <c r="E3" s="512"/>
    </row>
    <row r="4" spans="1:6" ht="18.75" x14ac:dyDescent="0.25">
      <c r="A4" s="240" t="s">
        <v>629</v>
      </c>
      <c r="B4" s="240" t="s">
        <v>630</v>
      </c>
      <c r="C4" s="240" t="s">
        <v>605</v>
      </c>
      <c r="D4" s="240" t="s">
        <v>631</v>
      </c>
      <c r="E4" s="240" t="s">
        <v>72</v>
      </c>
    </row>
    <row r="5" spans="1:6" ht="15.75" x14ac:dyDescent="0.25">
      <c r="A5" s="241" t="s">
        <v>649</v>
      </c>
      <c r="B5" s="242">
        <v>6775024.8700000001</v>
      </c>
      <c r="C5" s="243">
        <v>5902831.21</v>
      </c>
      <c r="D5" s="243">
        <v>102835</v>
      </c>
      <c r="E5" s="293">
        <f>+D5/C5</f>
        <v>1.7421301125091802E-2</v>
      </c>
    </row>
    <row r="6" spans="1:6" ht="15.75" x14ac:dyDescent="0.25">
      <c r="A6" s="241" t="s">
        <v>650</v>
      </c>
      <c r="B6" s="244">
        <v>9928728.9100000001</v>
      </c>
      <c r="C6" s="243">
        <v>9338924.6199999992</v>
      </c>
      <c r="D6" s="244">
        <f>147829.22+68679.07+4547.79</f>
        <v>221056.08000000002</v>
      </c>
      <c r="E6" s="293">
        <f>+D6/C6</f>
        <v>2.3670399858094156E-2</v>
      </c>
    </row>
    <row r="7" spans="1:6" ht="15.75" x14ac:dyDescent="0.25">
      <c r="A7" s="241" t="s">
        <v>526</v>
      </c>
      <c r="B7" s="244">
        <v>7643032.2199999997</v>
      </c>
      <c r="C7" s="243">
        <v>7825280.6500000004</v>
      </c>
      <c r="D7" s="244">
        <v>99442.51</v>
      </c>
      <c r="E7" s="293">
        <f>+D7/C7</f>
        <v>1.2707852209747902E-2</v>
      </c>
    </row>
    <row r="8" spans="1:6" ht="15.75" x14ac:dyDescent="0.25">
      <c r="A8" s="241" t="s">
        <v>525</v>
      </c>
      <c r="B8" s="244">
        <v>6994829.1200000001</v>
      </c>
      <c r="C8" s="244">
        <v>6892064.790000001</v>
      </c>
      <c r="D8" s="244">
        <v>68054</v>
      </c>
      <c r="E8" s="293">
        <f>+D8/C8</f>
        <v>9.8742542436255874E-3</v>
      </c>
    </row>
    <row r="9" spans="1:6" ht="15.75" x14ac:dyDescent="0.25">
      <c r="A9" s="241" t="s">
        <v>524</v>
      </c>
      <c r="B9" s="246">
        <v>7347874.0899999999</v>
      </c>
      <c r="C9" s="246">
        <v>7518709.1100000013</v>
      </c>
      <c r="D9" s="244">
        <f>47721.02+68532.2</f>
        <v>116253.22</v>
      </c>
      <c r="E9" s="293">
        <f>+D9/C9</f>
        <v>1.5461858983928689E-2</v>
      </c>
    </row>
    <row r="10" spans="1:6" ht="15.75" x14ac:dyDescent="0.25">
      <c r="A10" s="241" t="s">
        <v>523</v>
      </c>
      <c r="B10" s="246"/>
      <c r="C10" s="246"/>
      <c r="D10" s="244"/>
      <c r="E10" s="245"/>
    </row>
    <row r="11" spans="1:6" ht="15.75" x14ac:dyDescent="0.25">
      <c r="A11" s="241" t="s">
        <v>522</v>
      </c>
      <c r="B11" s="246"/>
      <c r="C11" s="246"/>
      <c r="D11" s="244"/>
      <c r="E11" s="245"/>
    </row>
    <row r="12" spans="1:6" ht="15.75" x14ac:dyDescent="0.25">
      <c r="A12" s="241" t="s">
        <v>521</v>
      </c>
      <c r="B12" s="246"/>
      <c r="C12" s="246"/>
      <c r="D12" s="244"/>
      <c r="E12" s="245"/>
    </row>
    <row r="13" spans="1:6" ht="15.75" x14ac:dyDescent="0.25">
      <c r="A13" s="241" t="s">
        <v>520</v>
      </c>
      <c r="B13" s="246"/>
      <c r="C13" s="246"/>
      <c r="D13" s="244"/>
      <c r="E13" s="245"/>
    </row>
    <row r="14" spans="1:6" ht="15.75" x14ac:dyDescent="0.25">
      <c r="A14" s="241" t="s">
        <v>651</v>
      </c>
      <c r="B14" s="246"/>
      <c r="C14" s="246"/>
      <c r="D14" s="244"/>
      <c r="E14" s="245"/>
    </row>
    <row r="15" spans="1:6" ht="15.75" x14ac:dyDescent="0.25">
      <c r="A15" s="241" t="s">
        <v>518</v>
      </c>
      <c r="B15" s="246"/>
      <c r="C15" s="246"/>
      <c r="D15" s="244"/>
      <c r="E15" s="245"/>
    </row>
    <row r="16" spans="1:6" ht="15.75" x14ac:dyDescent="0.25">
      <c r="A16" s="241" t="s">
        <v>517</v>
      </c>
      <c r="B16" s="246"/>
      <c r="C16" s="246"/>
      <c r="D16" s="244"/>
      <c r="E16" s="245"/>
    </row>
    <row r="17" spans="1:5" ht="18.75" x14ac:dyDescent="0.3">
      <c r="A17" s="247" t="s">
        <v>348</v>
      </c>
      <c r="B17" s="248">
        <f>SUM(B5:B13)</f>
        <v>38689489.210000001</v>
      </c>
      <c r="C17" s="248">
        <f>SUM(C5:C13)</f>
        <v>37477810.379999995</v>
      </c>
      <c r="D17" s="248">
        <f>SUM(D5:D13)</f>
        <v>607640.81000000006</v>
      </c>
      <c r="E17" s="294">
        <f>+D17/C17</f>
        <v>1.6213348747937183E-2</v>
      </c>
    </row>
    <row r="18" spans="1:5" ht="15.75" x14ac:dyDescent="0.25">
      <c r="A18" s="249"/>
      <c r="B18" s="250"/>
      <c r="C18" s="250"/>
      <c r="D18" s="250"/>
      <c r="E18" s="251"/>
    </row>
    <row r="19" spans="1:5" ht="15.75" x14ac:dyDescent="0.25">
      <c r="A19" s="222" t="s">
        <v>625</v>
      </c>
      <c r="B19" s="250"/>
      <c r="C19" s="250"/>
      <c r="D19" s="250"/>
      <c r="E19" s="251"/>
    </row>
    <row r="20" spans="1:5" ht="15.75" x14ac:dyDescent="0.25">
      <c r="A20" s="227" t="s">
        <v>626</v>
      </c>
      <c r="B20" s="250"/>
      <c r="C20" s="250"/>
      <c r="D20" s="250"/>
      <c r="E20" s="251"/>
    </row>
  </sheetData>
  <mergeCells count="3">
    <mergeCell ref="A1:F1"/>
    <mergeCell ref="A2:E2"/>
    <mergeCell ref="A3:E3"/>
  </mergeCells>
  <phoneticPr fontId="44" type="noConversion"/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61BEBD7864249BC2DAFCF9B0D2171" ma:contentTypeVersion="18" ma:contentTypeDescription="Create a new document." ma:contentTypeScope="" ma:versionID="0418eb84561f3acecd0bb14054beae6f">
  <xsd:schema xmlns:xsd="http://www.w3.org/2001/XMLSchema" xmlns:xs="http://www.w3.org/2001/XMLSchema" xmlns:p="http://schemas.microsoft.com/office/2006/metadata/properties" xmlns:ns1="http://schemas.microsoft.com/sharepoint/v3" xmlns:ns3="07c79e06-4b95-4bd7-9f70-1708916ba346" xmlns:ns4="66a0fbff-63c5-42e0-aeb3-a526626be49b" targetNamespace="http://schemas.microsoft.com/office/2006/metadata/properties" ma:root="true" ma:fieldsID="1d40ef237af0aaa82bdf647cdff22c06" ns1:_="" ns3:_="" ns4:_="">
    <xsd:import namespace="http://schemas.microsoft.com/sharepoint/v3"/>
    <xsd:import namespace="07c79e06-4b95-4bd7-9f70-1708916ba346"/>
    <xsd:import namespace="66a0fbff-63c5-42e0-aeb3-a526626be4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79e06-4b95-4bd7-9f70-1708916ba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0fbff-63c5-42e0-aeb3-a526626be4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7c79e06-4b95-4bd7-9f70-1708916ba346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D16FF3-4C7A-43B0-81F3-BFC2D81C5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c79e06-4b95-4bd7-9f70-1708916ba346"/>
    <ds:schemaRef ds:uri="66a0fbff-63c5-42e0-aeb3-a526626be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2CB089-94A8-429F-A92D-B88DDF68251D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66a0fbff-63c5-42e0-aeb3-a526626be49b"/>
    <ds:schemaRef ds:uri="http://schemas.microsoft.com/office/2006/metadata/properties"/>
    <ds:schemaRef ds:uri="07c79e06-4b95-4bd7-9f70-1708916ba346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B2E94C1-626A-4224-9E7A-67B5210E35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4</vt:i4>
      </vt:variant>
    </vt:vector>
  </HeadingPairs>
  <TitlesOfParts>
    <vt:vector size="19" baseType="lpstr">
      <vt:lpstr>RELACION DE PAGOS EMITIDOS</vt:lpstr>
      <vt:lpstr>RELACION ORDENES DE COMPRAS</vt:lpstr>
      <vt:lpstr>CUENTA T VS</vt:lpstr>
      <vt:lpstr>CUENTA T FONDO 100</vt:lpstr>
      <vt:lpstr>CONS. FUENTES FINAN</vt:lpstr>
      <vt:lpstr>GASTOS X ATENCION</vt:lpstr>
      <vt:lpstr>PLANTILLA PRESUPUESTO</vt:lpstr>
      <vt:lpstr>TRANSFERENCIA CORRIENTE</vt:lpstr>
      <vt:lpstr>VS</vt:lpstr>
      <vt:lpstr>OBLIGACIONES PENDIENTES</vt:lpstr>
      <vt:lpstr>INGR SEGUN ORIGEN</vt:lpstr>
      <vt:lpstr>DEUDA</vt:lpstr>
      <vt:lpstr>Hoja1</vt:lpstr>
      <vt:lpstr>INGRESOS POR A.R.S</vt:lpstr>
      <vt:lpstr>GLOSA</vt:lpstr>
      <vt:lpstr>'CONS. FUENTES FINAN'!Área_de_impresión</vt:lpstr>
      <vt:lpstr>DEUDA!Área_de_impresión</vt:lpstr>
      <vt:lpstr>'INGR SEGUN ORIGEN'!Área_de_impresión</vt:lpstr>
      <vt:lpstr>'RELACION DE PAGOS EMITIDOS'!Área_de_impresión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Mendez</dc:creator>
  <cp:lastModifiedBy>contabilidad</cp:lastModifiedBy>
  <cp:lastPrinted>2025-06-10T13:58:02Z</cp:lastPrinted>
  <dcterms:created xsi:type="dcterms:W3CDTF">2021-03-19T19:51:23Z</dcterms:created>
  <dcterms:modified xsi:type="dcterms:W3CDTF">2025-06-18T18:44:21Z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0x0101005E461BEBD7864249BC2DAFCF9B0D2171</vt:lpwstr>
  </property>
</Properties>
</file>